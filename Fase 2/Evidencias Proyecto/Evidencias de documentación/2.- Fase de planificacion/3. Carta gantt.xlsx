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9718C7FD-5328-49F0-B4A1-8E682D7B44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ta Gantt" sheetId="1" r:id="rId1"/>
    <sheet name="Planificación" sheetId="2" r:id="rId2"/>
  </sheets>
  <calcPr calcId="181029"/>
</workbook>
</file>

<file path=xl/calcChain.xml><?xml version="1.0" encoding="utf-8"?>
<calcChain xmlns="http://schemas.openxmlformats.org/spreadsheetml/2006/main">
  <c r="W20" i="1" l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<sst xmlns="http://schemas.openxmlformats.org/spreadsheetml/2006/main" count="177" uniqueCount="86">
  <si>
    <t>Carta Gantt Académica - Proyecto SIDEP</t>
  </si>
  <si>
    <t>Metodología</t>
  </si>
  <si>
    <t>Duración</t>
  </si>
  <si>
    <t>Enfoque</t>
  </si>
  <si>
    <t>Equipo</t>
  </si>
  <si>
    <t>Cascada (Waterfall)</t>
  </si>
  <si>
    <t>18 semanas</t>
  </si>
  <si>
    <t>Académico</t>
  </si>
  <si>
    <t>3 integrantes</t>
  </si>
  <si>
    <t>Fase</t>
  </si>
  <si>
    <t>Actividad</t>
  </si>
  <si>
    <t>Responsable</t>
  </si>
  <si>
    <t>Inicio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</si>
  <si>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</si>
  <si>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</si>
  <si>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</si>
  <si>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</si>
  <si>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</si>
  <si>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</si>
  <si>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</si>
  <si>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</si>
  <si>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</si>
  <si>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</si>
  <si>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</si>
  <si>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</si>
  <si>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</si>
  <si>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</si>
  <si>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</si>
  <si>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</si>
  <si>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</si>
  <si>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</si>
  <si>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Análisis</t>
  </si>
  <si>
    <t>Levantamiento de requerimientos</t>
  </si>
  <si>
    <t>Identificación de actores y objetivos</t>
  </si>
  <si>
    <t>Definición y validación de requerimientos</t>
  </si>
  <si>
    <t>Diseño</t>
  </si>
  <si>
    <t>Diseño de arquitectura del sistema</t>
  </si>
  <si>
    <t>Diseño de base de datos</t>
  </si>
  <si>
    <t>Diagramas UML y módulos</t>
  </si>
  <si>
    <t>Diseño de interfaz y prototipado</t>
  </si>
  <si>
    <t>Frontend</t>
  </si>
  <si>
    <t>Desarrollo</t>
  </si>
  <si>
    <t>Frontend Angular (vistas, formularios, dashboard)</t>
  </si>
  <si>
    <t>Responsable Frontend</t>
  </si>
  <si>
    <t>Backend núcleo: autenticación, usuarios y partes</t>
  </si>
  <si>
    <t>Backend núcleo</t>
  </si>
  <si>
    <t>Backend logística: checklist, ERA y reportes</t>
  </si>
  <si>
    <t>Backend logística</t>
  </si>
  <si>
    <t>Integración</t>
  </si>
  <si>
    <t>Integración frontend-backend y endpoints</t>
  </si>
  <si>
    <t>Pruebas</t>
  </si>
  <si>
    <t>Pruebas funcionales y de integración</t>
  </si>
  <si>
    <t>Corrección de errores y ajustes</t>
  </si>
  <si>
    <t>Documentación</t>
  </si>
  <si>
    <t>Documentación final y anexos</t>
  </si>
  <si>
    <t>Entrega</t>
  </si>
  <si>
    <t>Preparación de entrega y presentación final</t>
  </si>
  <si>
    <t>Leyenda de fases</t>
  </si>
  <si>
    <t>■ Barra de planificación</t>
  </si>
  <si>
    <t>Planificación detallada del proyecto SIDEP</t>
  </si>
  <si>
    <t>Actividad/Tarea</t>
  </si>
  <si>
    <t>Descripción</t>
  </si>
  <si>
    <t>Semana inicio</t>
  </si>
  <si>
    <t>Observación</t>
  </si>
  <si>
    <t>Recopilación de necesidades del sistema y alcance académico.</t>
  </si>
  <si>
    <t>Trabajo colaborativo</t>
  </si>
  <si>
    <t>Definición de usuarios, stakeholders y objetivos del proyecto.</t>
  </si>
  <si>
    <t>Formalización de requisitos funcionales y no funcionales.</t>
  </si>
  <si>
    <t>Definición de arquitectura web y estructura por capas.</t>
  </si>
  <si>
    <t>Modelado relacional y entidades principales del sistema.</t>
  </si>
  <si>
    <t>Casos de uso, componentes y visión modular del sistema.</t>
  </si>
  <si>
    <t>Maquetación visual y estructura de navegación.</t>
  </si>
  <si>
    <t>Responsable principal de interfaz</t>
  </si>
  <si>
    <t>Construcción completa de la capa visual del sistema.</t>
  </si>
  <si>
    <t>Responsable único del frontend</t>
  </si>
  <si>
    <t>Implementación de JWT, roles y lógica principal de emergencias.</t>
  </si>
  <si>
    <t>Responsable backend principal</t>
  </si>
  <si>
    <t>Implementación de módulos logísticos y exportación PDF/Excel.</t>
  </si>
  <si>
    <t>Responsable backend logística y reportes</t>
  </si>
  <si>
    <t>Conexión de servicios y pruebas de interacción entre capas.</t>
  </si>
  <si>
    <t>Validación de funcionalidades críticas y consistencia general.</t>
  </si>
  <si>
    <t>Resolución de incidencias detectadas durante las pruebas.</t>
  </si>
  <si>
    <t>Consolidación del informe y anexos de apoyo.</t>
  </si>
  <si>
    <t>Cierre académico y preparación de defensa del proyecto.</t>
  </si>
  <si>
    <t>Criterio de planificación: aunque la metodología es cascada, la etapa de desarrollo se divide por dominios (frontend, backend núcleo y backend logística/reportes) para hacer viable la ejecución dentro de 18 semanas y reducir problemas de integración.</t>
  </si>
  <si>
    <t>Distribución de programación: 1 responsable de frontend, 1 de backend núcleo y 1 de backend logística/reportes.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</si>
</sst>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color rgb="FF2F75B5"/>
      <name val="Carlito"/>
    </font>
    <font>
      <b/>
      <sz val="14"/>
      <color rgb="FF2F75B5"/>
      <name val="Carlito"/>
    </font>
    <font>
      <sz val="11"/>
      <color rgb="FF548235"/>
      <name val="Carlito"/>
    </font>
    <font>
      <b/>
      <sz val="14"/>
      <color rgb="FF548235"/>
      <name val="Carlito"/>
    </font>
    <font>
      <sz val="11"/>
      <color rgb="FFBF9000"/>
      <name val="Carlito"/>
    </font>
    <font>
      <b/>
      <sz val="14"/>
      <color rgb="FFBF9000"/>
      <name val="Carlito"/>
    </font>
    <font>
      <sz val="11"/>
      <color rgb="FFC55A11"/>
      <name val="Carlito"/>
    </font>
    <font>
      <b/>
      <sz val="14"/>
      <color rgb="FFC55A11"/>
      <name val="Carlito"/>
    </font>
    <font>
      <sz val="11"/>
      <color rgb="FF5F497A"/>
      <name val="Carlito"/>
    </font>
    <font>
      <b/>
      <sz val="14"/>
      <color rgb="FF5F497A"/>
      <name val="Carlito"/>
    </font>
    <font>
      <sz val="11"/>
      <color rgb="FF38761D"/>
      <name val="Carlito"/>
    </font>
    <font>
      <b/>
      <sz val="14"/>
      <color rgb="FF38761D"/>
      <name val="Carlito"/>
    </font>
    <font>
      <sz val="11"/>
      <color rgb="FF990000"/>
      <name val="Carlito"/>
    </font>
    <font>
      <b/>
      <sz val="14"/>
      <color rgb="FF990000"/>
      <name val="Carlito"/>
    </font>
    <font>
      <b/>
      <sz val="15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3" fillId="9" borderId="0" xfId="0" applyFont="1" applyFill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3" fillId="10" borderId="0" xfId="0" applyFont="1" applyFill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3" fillId="11" borderId="0" xfId="0" applyFont="1" applyFill="1" applyAlignment="1">
      <alignment vertical="center" wrapText="1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3" fillId="1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 wrapText="1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18" fillId="2" borderId="0" xfId="0" applyFont="1" applyFill="1" applyAlignment="1">
      <alignment horizontal="center"/>
    </xf>
    <xf numFmtId="0" fontId="0" fillId="1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showGridLines="0" topLeftCell="A7" workbookViewId="0">
      <selection activeCell="R16" sqref="R16"/>
    </sheetView>
  </sheetViews>
  <sheetFormatPr baseColWidth="10" defaultColWidth="8.796875" defaultRowHeight="13.8"/>
  <cols>
    <col min="1" max="1" width="14" customWidth="1"/>
    <col min="2" max="2" width="40" customWidth="1"/>
    <col min="3" max="3" width="22" customWidth="1"/>
    <col min="4" max="5" width="10" customWidth="1"/>
    <col min="6" max="6" width="3.09765625" bestFit="1" customWidth="1"/>
    <col min="7" max="7" width="7.69921875" customWidth="1"/>
    <col min="8" max="8" width="2.69921875" customWidth="1"/>
    <col min="9" max="9" width="6.19921875" customWidth="1"/>
    <col min="10" max="23" width="4.796875" customWidth="1"/>
  </cols>
  <sheetData>
    <row r="1" spans="1:23" ht="19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" customHeight="1">
      <c r="A2" s="27" t="s">
        <v>1</v>
      </c>
      <c r="B2" s="27"/>
      <c r="C2" s="27" t="s">
        <v>2</v>
      </c>
      <c r="D2" s="27"/>
      <c r="E2" s="27" t="s">
        <v>3</v>
      </c>
      <c r="F2" s="27"/>
      <c r="G2" s="27" t="s">
        <v>4</v>
      </c>
      <c r="H2" s="27"/>
      <c r="I2" s="29" t="s">
        <v>85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5" customHeight="1">
      <c r="A3" s="28" t="s">
        <v>5</v>
      </c>
      <c r="B3" s="28"/>
      <c r="C3" s="28" t="s">
        <v>6</v>
      </c>
      <c r="D3" s="28"/>
      <c r="E3" s="28" t="s">
        <v>7</v>
      </c>
      <c r="F3" s="28"/>
      <c r="G3" s="28" t="s">
        <v>8</v>
      </c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ht="15" customHeight="1"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  <c r="U4" s="1">
        <v>16</v>
      </c>
      <c r="V4" s="1">
        <v>17</v>
      </c>
      <c r="W4" s="1">
        <v>18</v>
      </c>
    </row>
    <row r="5" spans="1:23" ht="15" customHeight="1">
      <c r="A5" s="3" t="s">
        <v>9</v>
      </c>
      <c r="B5" s="3" t="s">
        <v>10</v>
      </c>
      <c r="C5" s="3" t="s">
        <v>11</v>
      </c>
      <c r="D5" s="3" t="s">
        <v>12</v>
      </c>
      <c r="E5" s="3" t="s">
        <v>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</row>
    <row r="6" spans="1:23" ht="17.100000000000001" customHeight="1">
      <c r="A6" s="6" t="s">
        <v>31</v>
      </c>
      <c r="B6" s="7" t="s">
        <v>32</v>
      </c>
      <c r="C6" s="7" t="s">
        <v>4</v>
      </c>
      <c r="D6" s="7">
        <v>1</v>
      </c>
      <c r="E6" s="7">
        <v>2</v>
      </c>
      <c r="F6" s="5" t="str">
        <f t="shared" ref="F6:O20" si="0">IF(AND(F$4&gt;=$D6,F$4&lt;=$D6+$E6-1),"■","")</f>
        <v>■</v>
      </c>
      <c r="G6" s="5" t="str">
        <f t="shared" si="0"/>
        <v>■</v>
      </c>
      <c r="H6" s="5" t="str">
        <f t="shared" si="0"/>
        <v/>
      </c>
      <c r="I6" s="5" t="str">
        <f t="shared" si="0"/>
        <v/>
      </c>
      <c r="J6" s="5" t="str">
        <f t="shared" si="0"/>
        <v/>
      </c>
      <c r="K6" s="5" t="str">
        <f t="shared" si="0"/>
        <v/>
      </c>
      <c r="L6" s="5" t="str">
        <f t="shared" si="0"/>
        <v/>
      </c>
      <c r="M6" s="5" t="str">
        <f t="shared" si="0"/>
        <v/>
      </c>
      <c r="N6" s="5" t="str">
        <f t="shared" si="0"/>
        <v/>
      </c>
      <c r="O6" s="5" t="str">
        <f t="shared" si="0"/>
        <v/>
      </c>
      <c r="P6" s="5" t="str">
        <f t="shared" ref="P6:W20" si="1">IF(AND(P$4&gt;=$D6,P$4&lt;=$D6+$E6-1),"■","")</f>
        <v/>
      </c>
      <c r="Q6" s="5" t="str">
        <f t="shared" si="1"/>
        <v/>
      </c>
      <c r="R6" s="5" t="str">
        <f t="shared" si="1"/>
        <v/>
      </c>
      <c r="S6" s="5" t="str">
        <f t="shared" si="1"/>
        <v/>
      </c>
      <c r="T6" s="5" t="str">
        <f t="shared" si="1"/>
        <v/>
      </c>
      <c r="U6" s="5" t="str">
        <f t="shared" si="1"/>
        <v/>
      </c>
      <c r="V6" s="5" t="str">
        <f t="shared" si="1"/>
        <v/>
      </c>
      <c r="W6" s="5" t="str">
        <f t="shared" si="1"/>
        <v/>
      </c>
    </row>
    <row r="7" spans="1:23" ht="17.100000000000001" customHeight="1">
      <c r="A7" s="6" t="s">
        <v>31</v>
      </c>
      <c r="B7" s="7" t="s">
        <v>33</v>
      </c>
      <c r="C7" s="7" t="s">
        <v>4</v>
      </c>
      <c r="D7" s="7">
        <v>1</v>
      </c>
      <c r="E7" s="7">
        <v>2</v>
      </c>
      <c r="F7" s="5" t="str">
        <f t="shared" si="0"/>
        <v>■</v>
      </c>
      <c r="G7" s="5" t="str">
        <f t="shared" si="0"/>
        <v>■</v>
      </c>
      <c r="H7" s="5" t="str">
        <f t="shared" si="0"/>
        <v/>
      </c>
      <c r="I7" s="5" t="str">
        <f t="shared" si="0"/>
        <v/>
      </c>
      <c r="J7" s="5" t="str">
        <f t="shared" si="0"/>
        <v/>
      </c>
      <c r="K7" s="5" t="str">
        <f t="shared" si="0"/>
        <v/>
      </c>
      <c r="L7" s="5" t="str">
        <f t="shared" si="0"/>
        <v/>
      </c>
      <c r="M7" s="5" t="str">
        <f t="shared" si="0"/>
        <v/>
      </c>
      <c r="N7" s="5" t="str">
        <f t="shared" si="0"/>
        <v/>
      </c>
      <c r="O7" s="5" t="str">
        <f t="shared" si="0"/>
        <v/>
      </c>
      <c r="P7" s="5" t="str">
        <f t="shared" si="1"/>
        <v/>
      </c>
      <c r="Q7" s="5" t="str">
        <f t="shared" si="1"/>
        <v/>
      </c>
      <c r="R7" s="5" t="str">
        <f t="shared" si="1"/>
        <v/>
      </c>
      <c r="S7" s="5" t="str">
        <f t="shared" si="1"/>
        <v/>
      </c>
      <c r="T7" s="5" t="str">
        <f t="shared" si="1"/>
        <v/>
      </c>
      <c r="U7" s="5" t="str">
        <f t="shared" si="1"/>
        <v/>
      </c>
      <c r="V7" s="5" t="str">
        <f t="shared" si="1"/>
        <v/>
      </c>
      <c r="W7" s="5" t="str">
        <f t="shared" si="1"/>
        <v/>
      </c>
    </row>
    <row r="8" spans="1:23" ht="17.100000000000001" customHeight="1">
      <c r="A8" s="6" t="s">
        <v>31</v>
      </c>
      <c r="B8" s="7" t="s">
        <v>34</v>
      </c>
      <c r="C8" s="7" t="s">
        <v>4</v>
      </c>
      <c r="D8" s="7">
        <v>3</v>
      </c>
      <c r="E8" s="7">
        <v>2</v>
      </c>
      <c r="F8" s="5" t="str">
        <f t="shared" si="0"/>
        <v/>
      </c>
      <c r="G8" s="5" t="str">
        <f t="shared" si="0"/>
        <v/>
      </c>
      <c r="H8" s="5" t="str">
        <f t="shared" si="0"/>
        <v>■</v>
      </c>
      <c r="I8" s="5" t="str">
        <f t="shared" si="0"/>
        <v>■</v>
      </c>
      <c r="J8" s="5" t="str">
        <f t="shared" si="0"/>
        <v/>
      </c>
      <c r="K8" s="5" t="str">
        <f t="shared" si="0"/>
        <v/>
      </c>
      <c r="L8" s="5" t="str">
        <f t="shared" si="0"/>
        <v/>
      </c>
      <c r="M8" s="5" t="str">
        <f t="shared" si="0"/>
        <v/>
      </c>
      <c r="N8" s="5" t="str">
        <f t="shared" si="0"/>
        <v/>
      </c>
      <c r="O8" s="5" t="str">
        <f t="shared" si="0"/>
        <v/>
      </c>
      <c r="P8" s="5" t="str">
        <f t="shared" si="1"/>
        <v/>
      </c>
      <c r="Q8" s="5" t="str">
        <f t="shared" si="1"/>
        <v/>
      </c>
      <c r="R8" s="5" t="str">
        <f t="shared" si="1"/>
        <v/>
      </c>
      <c r="S8" s="5" t="str">
        <f t="shared" si="1"/>
        <v/>
      </c>
      <c r="T8" s="5" t="str">
        <f t="shared" si="1"/>
        <v/>
      </c>
      <c r="U8" s="5" t="str">
        <f t="shared" si="1"/>
        <v/>
      </c>
      <c r="V8" s="5" t="str">
        <f t="shared" si="1"/>
        <v/>
      </c>
      <c r="W8" s="5" t="str">
        <f t="shared" si="1"/>
        <v/>
      </c>
    </row>
    <row r="9" spans="1:23" ht="17.100000000000001" customHeight="1">
      <c r="A9" s="10" t="s">
        <v>35</v>
      </c>
      <c r="B9" s="7" t="s">
        <v>36</v>
      </c>
      <c r="C9" s="7" t="s">
        <v>4</v>
      </c>
      <c r="D9" s="7">
        <v>4</v>
      </c>
      <c r="E9" s="7">
        <v>2</v>
      </c>
      <c r="F9" s="9" t="str">
        <f t="shared" si="0"/>
        <v/>
      </c>
      <c r="G9" s="9" t="str">
        <f t="shared" si="0"/>
        <v/>
      </c>
      <c r="H9" s="9" t="str">
        <f t="shared" si="0"/>
        <v/>
      </c>
      <c r="I9" s="9" t="str">
        <f t="shared" si="0"/>
        <v>■</v>
      </c>
      <c r="J9" s="9" t="str">
        <f t="shared" si="0"/>
        <v>■</v>
      </c>
      <c r="K9" s="9" t="str">
        <f t="shared" si="0"/>
        <v/>
      </c>
      <c r="L9" s="9" t="str">
        <f t="shared" si="0"/>
        <v/>
      </c>
      <c r="M9" s="9" t="str">
        <f t="shared" si="0"/>
        <v/>
      </c>
      <c r="N9" s="9" t="str">
        <f t="shared" si="0"/>
        <v/>
      </c>
      <c r="O9" s="9" t="str">
        <f t="shared" si="0"/>
        <v/>
      </c>
      <c r="P9" s="9" t="str">
        <f t="shared" si="1"/>
        <v/>
      </c>
      <c r="Q9" s="9" t="str">
        <f t="shared" si="1"/>
        <v/>
      </c>
      <c r="R9" s="9" t="str">
        <f t="shared" si="1"/>
        <v/>
      </c>
      <c r="S9" s="9" t="str">
        <f t="shared" si="1"/>
        <v/>
      </c>
      <c r="T9" s="9" t="str">
        <f t="shared" si="1"/>
        <v/>
      </c>
      <c r="U9" s="9" t="str">
        <f t="shared" si="1"/>
        <v/>
      </c>
      <c r="V9" s="9" t="str">
        <f t="shared" si="1"/>
        <v/>
      </c>
      <c r="W9" s="9" t="str">
        <f t="shared" si="1"/>
        <v/>
      </c>
    </row>
    <row r="10" spans="1:23" ht="17.100000000000001" customHeight="1">
      <c r="A10" s="10" t="s">
        <v>35</v>
      </c>
      <c r="B10" s="7" t="s">
        <v>37</v>
      </c>
      <c r="C10" s="7" t="s">
        <v>4</v>
      </c>
      <c r="D10" s="7">
        <v>5</v>
      </c>
      <c r="E10" s="7">
        <v>2</v>
      </c>
      <c r="F10" s="9" t="str">
        <f t="shared" si="0"/>
        <v/>
      </c>
      <c r="G10" s="9" t="str">
        <f t="shared" si="0"/>
        <v/>
      </c>
      <c r="H10" s="9" t="str">
        <f t="shared" si="0"/>
        <v/>
      </c>
      <c r="I10" s="9" t="str">
        <f t="shared" si="0"/>
        <v/>
      </c>
      <c r="J10" s="9" t="str">
        <f t="shared" si="0"/>
        <v>■</v>
      </c>
      <c r="K10" s="9" t="str">
        <f t="shared" si="0"/>
        <v>■</v>
      </c>
      <c r="L10" s="9" t="str">
        <f t="shared" si="0"/>
        <v/>
      </c>
      <c r="M10" s="9" t="str">
        <f t="shared" si="0"/>
        <v/>
      </c>
      <c r="N10" s="9" t="str">
        <f t="shared" si="0"/>
        <v/>
      </c>
      <c r="O10" s="9" t="str">
        <f t="shared" si="0"/>
        <v/>
      </c>
      <c r="P10" s="9" t="str">
        <f t="shared" si="1"/>
        <v/>
      </c>
      <c r="Q10" s="9" t="str">
        <f t="shared" si="1"/>
        <v/>
      </c>
      <c r="R10" s="9" t="str">
        <f t="shared" si="1"/>
        <v/>
      </c>
      <c r="S10" s="9" t="str">
        <f t="shared" si="1"/>
        <v/>
      </c>
      <c r="T10" s="9" t="str">
        <f t="shared" si="1"/>
        <v/>
      </c>
      <c r="U10" s="9" t="str">
        <f t="shared" si="1"/>
        <v/>
      </c>
      <c r="V10" s="9" t="str">
        <f t="shared" si="1"/>
        <v/>
      </c>
      <c r="W10" s="9" t="str">
        <f t="shared" si="1"/>
        <v/>
      </c>
    </row>
    <row r="11" spans="1:23" ht="17.100000000000001" customHeight="1">
      <c r="A11" s="10" t="s">
        <v>35</v>
      </c>
      <c r="B11" s="7" t="s">
        <v>38</v>
      </c>
      <c r="C11" s="7" t="s">
        <v>4</v>
      </c>
      <c r="D11" s="7">
        <v>5</v>
      </c>
      <c r="E11" s="7">
        <v>2</v>
      </c>
      <c r="F11" s="9" t="str">
        <f t="shared" si="0"/>
        <v/>
      </c>
      <c r="G11" s="9" t="str">
        <f t="shared" si="0"/>
        <v/>
      </c>
      <c r="H11" s="9" t="str">
        <f t="shared" si="0"/>
        <v/>
      </c>
      <c r="I11" s="9" t="str">
        <f t="shared" si="0"/>
        <v/>
      </c>
      <c r="J11" s="9" t="str">
        <f t="shared" si="0"/>
        <v>■</v>
      </c>
      <c r="K11" s="9" t="str">
        <f t="shared" si="0"/>
        <v>■</v>
      </c>
      <c r="L11" s="9" t="str">
        <f t="shared" si="0"/>
        <v/>
      </c>
      <c r="M11" s="9" t="str">
        <f t="shared" si="0"/>
        <v/>
      </c>
      <c r="N11" s="9" t="str">
        <f t="shared" si="0"/>
        <v/>
      </c>
      <c r="O11" s="9" t="str">
        <f t="shared" si="0"/>
        <v/>
      </c>
      <c r="P11" s="9" t="str">
        <f t="shared" si="1"/>
        <v/>
      </c>
      <c r="Q11" s="9" t="str">
        <f t="shared" si="1"/>
        <v/>
      </c>
      <c r="R11" s="9" t="str">
        <f t="shared" si="1"/>
        <v/>
      </c>
      <c r="S11" s="9" t="str">
        <f t="shared" si="1"/>
        <v/>
      </c>
      <c r="T11" s="9" t="str">
        <f t="shared" si="1"/>
        <v/>
      </c>
      <c r="U11" s="9" t="str">
        <f t="shared" si="1"/>
        <v/>
      </c>
      <c r="V11" s="9" t="str">
        <f t="shared" si="1"/>
        <v/>
      </c>
      <c r="W11" s="9" t="str">
        <f t="shared" si="1"/>
        <v/>
      </c>
    </row>
    <row r="12" spans="1:23" ht="17.100000000000001" customHeight="1">
      <c r="A12" s="10" t="s">
        <v>35</v>
      </c>
      <c r="B12" s="7" t="s">
        <v>39</v>
      </c>
      <c r="C12" s="7" t="s">
        <v>40</v>
      </c>
      <c r="D12" s="7">
        <v>6</v>
      </c>
      <c r="E12" s="7">
        <v>1</v>
      </c>
      <c r="F12" s="9" t="str">
        <f t="shared" si="0"/>
        <v/>
      </c>
      <c r="G12" s="9" t="str">
        <f t="shared" si="0"/>
        <v/>
      </c>
      <c r="H12" s="9" t="str">
        <f t="shared" si="0"/>
        <v/>
      </c>
      <c r="I12" s="9" t="str">
        <f t="shared" si="0"/>
        <v/>
      </c>
      <c r="J12" s="9" t="str">
        <f t="shared" si="0"/>
        <v/>
      </c>
      <c r="K12" s="9" t="str">
        <f t="shared" si="0"/>
        <v>■</v>
      </c>
      <c r="L12" s="9" t="str">
        <f t="shared" si="0"/>
        <v/>
      </c>
      <c r="M12" s="9" t="str">
        <f t="shared" si="0"/>
        <v/>
      </c>
      <c r="N12" s="9" t="str">
        <f t="shared" si="0"/>
        <v/>
      </c>
      <c r="O12" s="9" t="str">
        <f t="shared" si="0"/>
        <v/>
      </c>
      <c r="P12" s="9" t="str">
        <f t="shared" si="1"/>
        <v/>
      </c>
      <c r="Q12" s="9" t="str">
        <f t="shared" si="1"/>
        <v/>
      </c>
      <c r="R12" s="9" t="str">
        <f t="shared" si="1"/>
        <v/>
      </c>
      <c r="S12" s="9" t="str">
        <f t="shared" si="1"/>
        <v/>
      </c>
      <c r="T12" s="9" t="str">
        <f t="shared" si="1"/>
        <v/>
      </c>
      <c r="U12" s="9" t="str">
        <f t="shared" si="1"/>
        <v/>
      </c>
      <c r="V12" s="9" t="str">
        <f t="shared" si="1"/>
        <v/>
      </c>
      <c r="W12" s="9" t="str">
        <f t="shared" si="1"/>
        <v/>
      </c>
    </row>
    <row r="13" spans="1:23" ht="17.100000000000001" customHeight="1">
      <c r="A13" s="13" t="s">
        <v>41</v>
      </c>
      <c r="B13" s="7" t="s">
        <v>42</v>
      </c>
      <c r="C13" s="7" t="s">
        <v>43</v>
      </c>
      <c r="D13" s="7">
        <v>7</v>
      </c>
      <c r="E13" s="7">
        <v>6</v>
      </c>
      <c r="F13" s="12" t="str">
        <f t="shared" si="0"/>
        <v/>
      </c>
      <c r="G13" s="12" t="str">
        <f t="shared" si="0"/>
        <v/>
      </c>
      <c r="H13" s="12" t="str">
        <f t="shared" si="0"/>
        <v/>
      </c>
      <c r="I13" s="12" t="str">
        <f t="shared" si="0"/>
        <v/>
      </c>
      <c r="J13" s="12" t="str">
        <f t="shared" si="0"/>
        <v/>
      </c>
      <c r="K13" s="12" t="str">
        <f t="shared" si="0"/>
        <v/>
      </c>
      <c r="L13" s="12" t="str">
        <f t="shared" si="0"/>
        <v>■</v>
      </c>
      <c r="M13" s="12" t="str">
        <f t="shared" si="0"/>
        <v>■</v>
      </c>
      <c r="N13" s="12" t="str">
        <f t="shared" si="0"/>
        <v>■</v>
      </c>
      <c r="O13" s="12" t="str">
        <f t="shared" si="0"/>
        <v>■</v>
      </c>
      <c r="P13" s="12" t="str">
        <f t="shared" si="1"/>
        <v>■</v>
      </c>
      <c r="Q13" s="12" t="str">
        <f t="shared" si="1"/>
        <v>■</v>
      </c>
      <c r="R13" s="12" t="str">
        <f t="shared" si="1"/>
        <v/>
      </c>
      <c r="S13" s="12" t="str">
        <f t="shared" si="1"/>
        <v/>
      </c>
      <c r="T13" s="12" t="str">
        <f t="shared" si="1"/>
        <v/>
      </c>
      <c r="U13" s="12" t="str">
        <f t="shared" si="1"/>
        <v/>
      </c>
      <c r="V13" s="12" t="str">
        <f t="shared" si="1"/>
        <v/>
      </c>
      <c r="W13" s="12" t="str">
        <f t="shared" si="1"/>
        <v/>
      </c>
    </row>
    <row r="14" spans="1:23" ht="17.100000000000001" customHeight="1">
      <c r="A14" s="13" t="s">
        <v>41</v>
      </c>
      <c r="B14" s="7" t="s">
        <v>44</v>
      </c>
      <c r="C14" s="7" t="s">
        <v>45</v>
      </c>
      <c r="D14" s="7">
        <v>7</v>
      </c>
      <c r="E14" s="7">
        <v>6</v>
      </c>
      <c r="F14" s="12" t="str">
        <f t="shared" si="0"/>
        <v/>
      </c>
      <c r="G14" s="12" t="str">
        <f t="shared" si="0"/>
        <v/>
      </c>
      <c r="H14" s="12" t="str">
        <f t="shared" si="0"/>
        <v/>
      </c>
      <c r="I14" s="12" t="str">
        <f t="shared" si="0"/>
        <v/>
      </c>
      <c r="J14" s="12" t="str">
        <f t="shared" si="0"/>
        <v/>
      </c>
      <c r="K14" s="12" t="str">
        <f t="shared" si="0"/>
        <v/>
      </c>
      <c r="L14" s="12" t="str">
        <f t="shared" si="0"/>
        <v>■</v>
      </c>
      <c r="M14" s="12" t="str">
        <f t="shared" si="0"/>
        <v>■</v>
      </c>
      <c r="N14" s="12" t="str">
        <f t="shared" si="0"/>
        <v>■</v>
      </c>
      <c r="O14" s="12" t="str">
        <f t="shared" si="0"/>
        <v>■</v>
      </c>
      <c r="P14" s="12" t="str">
        <f t="shared" si="1"/>
        <v>■</v>
      </c>
      <c r="Q14" s="12" t="str">
        <f t="shared" si="1"/>
        <v>■</v>
      </c>
      <c r="R14" s="12" t="str">
        <f t="shared" si="1"/>
        <v/>
      </c>
      <c r="S14" s="12" t="str">
        <f t="shared" si="1"/>
        <v/>
      </c>
      <c r="T14" s="12" t="str">
        <f t="shared" si="1"/>
        <v/>
      </c>
      <c r="U14" s="12" t="str">
        <f t="shared" si="1"/>
        <v/>
      </c>
      <c r="V14" s="12" t="str">
        <f t="shared" si="1"/>
        <v/>
      </c>
      <c r="W14" s="12" t="str">
        <f t="shared" si="1"/>
        <v/>
      </c>
    </row>
    <row r="15" spans="1:23" ht="17.100000000000001" customHeight="1">
      <c r="A15" s="13" t="s">
        <v>41</v>
      </c>
      <c r="B15" s="7" t="s">
        <v>46</v>
      </c>
      <c r="C15" s="7" t="s">
        <v>47</v>
      </c>
      <c r="D15" s="7">
        <v>9</v>
      </c>
      <c r="E15" s="7">
        <v>5</v>
      </c>
      <c r="F15" s="12" t="str">
        <f t="shared" si="0"/>
        <v/>
      </c>
      <c r="G15" s="12" t="str">
        <f t="shared" si="0"/>
        <v/>
      </c>
      <c r="H15" s="12" t="str">
        <f t="shared" si="0"/>
        <v/>
      </c>
      <c r="I15" s="12" t="str">
        <f t="shared" si="0"/>
        <v/>
      </c>
      <c r="J15" s="12" t="str">
        <f t="shared" si="0"/>
        <v/>
      </c>
      <c r="K15" s="12" t="str">
        <f t="shared" si="0"/>
        <v/>
      </c>
      <c r="L15" s="12" t="str">
        <f t="shared" si="0"/>
        <v/>
      </c>
      <c r="M15" s="12" t="str">
        <f t="shared" si="0"/>
        <v/>
      </c>
      <c r="N15" s="12" t="str">
        <f t="shared" si="0"/>
        <v>■</v>
      </c>
      <c r="O15" s="12" t="str">
        <f t="shared" si="0"/>
        <v>■</v>
      </c>
      <c r="P15" s="12" t="str">
        <f t="shared" si="1"/>
        <v>■</v>
      </c>
      <c r="Q15" s="12" t="str">
        <f t="shared" si="1"/>
        <v>■</v>
      </c>
      <c r="R15" s="12" t="str">
        <f t="shared" si="1"/>
        <v>■</v>
      </c>
      <c r="S15" s="12" t="str">
        <f t="shared" si="1"/>
        <v/>
      </c>
      <c r="T15" s="12" t="str">
        <f t="shared" si="1"/>
        <v/>
      </c>
      <c r="U15" s="12" t="str">
        <f t="shared" si="1"/>
        <v/>
      </c>
      <c r="V15" s="12" t="str">
        <f t="shared" si="1"/>
        <v/>
      </c>
      <c r="W15" s="12" t="str">
        <f t="shared" si="1"/>
        <v/>
      </c>
    </row>
    <row r="16" spans="1:23" ht="17.100000000000001" customHeight="1">
      <c r="A16" s="16" t="s">
        <v>48</v>
      </c>
      <c r="B16" s="7" t="s">
        <v>49</v>
      </c>
      <c r="C16" s="7" t="s">
        <v>4</v>
      </c>
      <c r="D16" s="7">
        <v>12</v>
      </c>
      <c r="E16" s="7">
        <v>2</v>
      </c>
      <c r="F16" s="15" t="str">
        <f t="shared" si="0"/>
        <v/>
      </c>
      <c r="G16" s="15" t="str">
        <f t="shared" si="0"/>
        <v/>
      </c>
      <c r="H16" s="15" t="str">
        <f t="shared" si="0"/>
        <v/>
      </c>
      <c r="I16" s="15" t="str">
        <f t="shared" si="0"/>
        <v/>
      </c>
      <c r="J16" s="15" t="str">
        <f t="shared" si="0"/>
        <v/>
      </c>
      <c r="K16" s="15" t="str">
        <f t="shared" si="0"/>
        <v/>
      </c>
      <c r="L16" s="15" t="str">
        <f t="shared" si="0"/>
        <v/>
      </c>
      <c r="M16" s="15" t="str">
        <f t="shared" si="0"/>
        <v/>
      </c>
      <c r="N16" s="15" t="str">
        <f t="shared" si="0"/>
        <v/>
      </c>
      <c r="O16" s="15" t="str">
        <f t="shared" si="0"/>
        <v/>
      </c>
      <c r="P16" s="15" t="str">
        <f t="shared" si="1"/>
        <v/>
      </c>
      <c r="Q16" s="15" t="str">
        <f t="shared" si="1"/>
        <v>■</v>
      </c>
      <c r="R16" s="15" t="str">
        <f t="shared" si="1"/>
        <v>■</v>
      </c>
      <c r="S16" s="15" t="str">
        <f t="shared" si="1"/>
        <v/>
      </c>
      <c r="T16" s="15" t="str">
        <f t="shared" si="1"/>
        <v/>
      </c>
      <c r="U16" s="15" t="str">
        <f t="shared" si="1"/>
        <v/>
      </c>
      <c r="V16" s="15" t="str">
        <f t="shared" si="1"/>
        <v/>
      </c>
      <c r="W16" s="15" t="str">
        <f t="shared" si="1"/>
        <v/>
      </c>
    </row>
    <row r="17" spans="1:23" ht="17.100000000000001" customHeight="1">
      <c r="A17" s="19" t="s">
        <v>50</v>
      </c>
      <c r="B17" s="7" t="s">
        <v>51</v>
      </c>
      <c r="C17" s="7" t="s">
        <v>4</v>
      </c>
      <c r="D17" s="7">
        <v>14</v>
      </c>
      <c r="E17" s="7">
        <v>2</v>
      </c>
      <c r="F17" s="18" t="str">
        <f t="shared" si="0"/>
        <v/>
      </c>
      <c r="G17" s="18" t="str">
        <f t="shared" si="0"/>
        <v/>
      </c>
      <c r="H17" s="18" t="str">
        <f t="shared" si="0"/>
        <v/>
      </c>
      <c r="I17" s="18" t="str">
        <f t="shared" si="0"/>
        <v/>
      </c>
      <c r="J17" s="18" t="str">
        <f t="shared" si="0"/>
        <v/>
      </c>
      <c r="K17" s="18" t="str">
        <f t="shared" si="0"/>
        <v/>
      </c>
      <c r="L17" s="18" t="str">
        <f t="shared" si="0"/>
        <v/>
      </c>
      <c r="M17" s="18" t="str">
        <f t="shared" si="0"/>
        <v/>
      </c>
      <c r="N17" s="18" t="str">
        <f t="shared" si="0"/>
        <v/>
      </c>
      <c r="O17" s="18" t="str">
        <f t="shared" si="0"/>
        <v/>
      </c>
      <c r="P17" s="18" t="str">
        <f t="shared" si="1"/>
        <v/>
      </c>
      <c r="Q17" s="18" t="str">
        <f t="shared" si="1"/>
        <v/>
      </c>
      <c r="R17" s="18" t="str">
        <f t="shared" si="1"/>
        <v/>
      </c>
      <c r="S17" s="18" t="str">
        <f t="shared" si="1"/>
        <v>■</v>
      </c>
      <c r="T17" s="18" t="str">
        <f t="shared" si="1"/>
        <v>■</v>
      </c>
      <c r="U17" s="18" t="str">
        <f t="shared" si="1"/>
        <v/>
      </c>
      <c r="V17" s="18" t="str">
        <f t="shared" si="1"/>
        <v/>
      </c>
      <c r="W17" s="18" t="str">
        <f t="shared" si="1"/>
        <v/>
      </c>
    </row>
    <row r="18" spans="1:23" ht="17.100000000000001" customHeight="1">
      <c r="A18" s="19" t="s">
        <v>50</v>
      </c>
      <c r="B18" s="7" t="s">
        <v>52</v>
      </c>
      <c r="C18" s="7" t="s">
        <v>4</v>
      </c>
      <c r="D18" s="7">
        <v>16</v>
      </c>
      <c r="E18" s="7">
        <v>1</v>
      </c>
      <c r="F18" s="18" t="str">
        <f t="shared" si="0"/>
        <v/>
      </c>
      <c r="G18" s="18" t="str">
        <f t="shared" si="0"/>
        <v/>
      </c>
      <c r="H18" s="18" t="str">
        <f t="shared" si="0"/>
        <v/>
      </c>
      <c r="I18" s="18" t="str">
        <f t="shared" si="0"/>
        <v/>
      </c>
      <c r="J18" s="18" t="str">
        <f t="shared" si="0"/>
        <v/>
      </c>
      <c r="K18" s="18" t="str">
        <f t="shared" si="0"/>
        <v/>
      </c>
      <c r="L18" s="18" t="str">
        <f t="shared" si="0"/>
        <v/>
      </c>
      <c r="M18" s="18" t="str">
        <f t="shared" si="0"/>
        <v/>
      </c>
      <c r="N18" s="18" t="str">
        <f t="shared" si="0"/>
        <v/>
      </c>
      <c r="O18" s="18" t="str">
        <f t="shared" si="0"/>
        <v/>
      </c>
      <c r="P18" s="18" t="str">
        <f t="shared" si="1"/>
        <v/>
      </c>
      <c r="Q18" s="18" t="str">
        <f t="shared" si="1"/>
        <v/>
      </c>
      <c r="R18" s="18" t="str">
        <f t="shared" si="1"/>
        <v/>
      </c>
      <c r="S18" s="18" t="str">
        <f t="shared" si="1"/>
        <v/>
      </c>
      <c r="T18" s="18" t="str">
        <f t="shared" si="1"/>
        <v/>
      </c>
      <c r="U18" s="18" t="str">
        <f t="shared" si="1"/>
        <v>■</v>
      </c>
      <c r="V18" s="18" t="str">
        <f t="shared" si="1"/>
        <v/>
      </c>
      <c r="W18" s="18" t="str">
        <f t="shared" si="1"/>
        <v/>
      </c>
    </row>
    <row r="19" spans="1:23" ht="17.100000000000001" customHeight="1">
      <c r="A19" s="22" t="s">
        <v>53</v>
      </c>
      <c r="B19" s="7" t="s">
        <v>54</v>
      </c>
      <c r="C19" s="7" t="s">
        <v>4</v>
      </c>
      <c r="D19" s="7">
        <v>17</v>
      </c>
      <c r="E19" s="7">
        <v>1</v>
      </c>
      <c r="F19" s="21" t="str">
        <f t="shared" si="0"/>
        <v/>
      </c>
      <c r="G19" s="21" t="str">
        <f t="shared" si="0"/>
        <v/>
      </c>
      <c r="H19" s="21" t="str">
        <f t="shared" si="0"/>
        <v/>
      </c>
      <c r="I19" s="21" t="str">
        <f t="shared" si="0"/>
        <v/>
      </c>
      <c r="J19" s="21" t="str">
        <f t="shared" si="0"/>
        <v/>
      </c>
      <c r="K19" s="21" t="str">
        <f t="shared" si="0"/>
        <v/>
      </c>
      <c r="L19" s="21" t="str">
        <f t="shared" si="0"/>
        <v/>
      </c>
      <c r="M19" s="21" t="str">
        <f t="shared" si="0"/>
        <v/>
      </c>
      <c r="N19" s="21" t="str">
        <f t="shared" si="0"/>
        <v/>
      </c>
      <c r="O19" s="21" t="str">
        <f t="shared" si="0"/>
        <v/>
      </c>
      <c r="P19" s="21" t="str">
        <f t="shared" si="1"/>
        <v/>
      </c>
      <c r="Q19" s="21" t="str">
        <f t="shared" si="1"/>
        <v/>
      </c>
      <c r="R19" s="21" t="str">
        <f t="shared" si="1"/>
        <v/>
      </c>
      <c r="S19" s="21" t="str">
        <f t="shared" si="1"/>
        <v/>
      </c>
      <c r="T19" s="21" t="str">
        <f t="shared" si="1"/>
        <v/>
      </c>
      <c r="U19" s="21" t="str">
        <f t="shared" si="1"/>
        <v/>
      </c>
      <c r="V19" s="21" t="str">
        <f t="shared" si="1"/>
        <v>■</v>
      </c>
      <c r="W19" s="21" t="str">
        <f t="shared" si="1"/>
        <v/>
      </c>
    </row>
    <row r="20" spans="1:23" ht="17.100000000000001" customHeight="1">
      <c r="A20" s="25" t="s">
        <v>55</v>
      </c>
      <c r="B20" s="7" t="s">
        <v>56</v>
      </c>
      <c r="C20" s="7" t="s">
        <v>4</v>
      </c>
      <c r="D20" s="7">
        <v>18</v>
      </c>
      <c r="E20" s="7">
        <v>1</v>
      </c>
      <c r="F20" s="24" t="str">
        <f t="shared" si="0"/>
        <v/>
      </c>
      <c r="G20" s="24" t="str">
        <f t="shared" si="0"/>
        <v/>
      </c>
      <c r="H20" s="24" t="str">
        <f t="shared" si="0"/>
        <v/>
      </c>
      <c r="I20" s="24" t="str">
        <f t="shared" si="0"/>
        <v/>
      </c>
      <c r="J20" s="24" t="str">
        <f t="shared" si="0"/>
        <v/>
      </c>
      <c r="K20" s="24" t="str">
        <f t="shared" si="0"/>
        <v/>
      </c>
      <c r="L20" s="24" t="str">
        <f t="shared" si="0"/>
        <v/>
      </c>
      <c r="M20" s="24" t="str">
        <f t="shared" si="0"/>
        <v/>
      </c>
      <c r="N20" s="24" t="str">
        <f t="shared" si="0"/>
        <v/>
      </c>
      <c r="O20" s="24" t="str">
        <f t="shared" si="0"/>
        <v/>
      </c>
      <c r="P20" s="24" t="str">
        <f t="shared" si="1"/>
        <v/>
      </c>
      <c r="Q20" s="24" t="str">
        <f t="shared" si="1"/>
        <v/>
      </c>
      <c r="R20" s="24" t="str">
        <f t="shared" si="1"/>
        <v/>
      </c>
      <c r="S20" s="24" t="str">
        <f t="shared" si="1"/>
        <v/>
      </c>
      <c r="T20" s="24" t="str">
        <f t="shared" si="1"/>
        <v/>
      </c>
      <c r="U20" s="24" t="str">
        <f t="shared" si="1"/>
        <v/>
      </c>
      <c r="V20" s="24" t="str">
        <f t="shared" si="1"/>
        <v/>
      </c>
      <c r="W20" s="24" t="str">
        <f t="shared" si="1"/>
        <v>■</v>
      </c>
    </row>
    <row r="23" spans="1:23" ht="15" customHeight="1">
      <c r="A23" s="30" t="s">
        <v>57</v>
      </c>
      <c r="B23" s="30"/>
      <c r="C23" s="30"/>
    </row>
    <row r="24" spans="1:23" ht="15" customHeight="1">
      <c r="A24" s="31" t="s">
        <v>31</v>
      </c>
      <c r="B24" s="31"/>
      <c r="C24" s="4" t="s">
        <v>58</v>
      </c>
    </row>
    <row r="25" spans="1:23" ht="15" customHeight="1">
      <c r="A25" s="32" t="s">
        <v>35</v>
      </c>
      <c r="B25" s="32"/>
      <c r="C25" s="8" t="s">
        <v>58</v>
      </c>
    </row>
    <row r="26" spans="1:23" ht="15" customHeight="1">
      <c r="A26" s="33" t="s">
        <v>41</v>
      </c>
      <c r="B26" s="33"/>
      <c r="C26" s="11" t="s">
        <v>58</v>
      </c>
    </row>
    <row r="27" spans="1:23" ht="15" customHeight="1">
      <c r="A27" s="34" t="s">
        <v>48</v>
      </c>
      <c r="B27" s="34"/>
      <c r="C27" s="14" t="s">
        <v>58</v>
      </c>
    </row>
    <row r="28" spans="1:23" ht="15" customHeight="1">
      <c r="A28" s="35" t="s">
        <v>50</v>
      </c>
      <c r="B28" s="35"/>
      <c r="C28" s="17" t="s">
        <v>58</v>
      </c>
    </row>
    <row r="29" spans="1:23" ht="15" customHeight="1">
      <c r="A29" s="36" t="s">
        <v>53</v>
      </c>
      <c r="B29" s="36"/>
      <c r="C29" s="20" t="s">
        <v>58</v>
      </c>
    </row>
    <row r="30" spans="1:23" ht="15" customHeight="1">
      <c r="A30" s="37" t="s">
        <v>55</v>
      </c>
      <c r="B30" s="37"/>
      <c r="C30" s="23" t="s">
        <v>58</v>
      </c>
    </row>
  </sheetData>
  <mergeCells count="18">
    <mergeCell ref="A28:B28"/>
    <mergeCell ref="A29:B29"/>
    <mergeCell ref="A30:B30"/>
    <mergeCell ref="A23:C23"/>
    <mergeCell ref="A24:B24"/>
    <mergeCell ref="A25:B25"/>
    <mergeCell ref="A26:B26"/>
    <mergeCell ref="A27:B27"/>
    <mergeCell ref="A1:W1"/>
    <mergeCell ref="A2:B2"/>
    <mergeCell ref="A3:B3"/>
    <mergeCell ref="C2:D2"/>
    <mergeCell ref="C3:D3"/>
    <mergeCell ref="E2:F2"/>
    <mergeCell ref="E3:F3"/>
    <mergeCell ref="G2:H2"/>
    <mergeCell ref="G3:H3"/>
    <mergeCell ref="I2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tabSelected="1" workbookViewId="0">
      <selection activeCell="G19" sqref="G19"/>
    </sheetView>
  </sheetViews>
  <sheetFormatPr baseColWidth="10" defaultColWidth="8.796875" defaultRowHeight="13.8"/>
  <cols>
    <col min="1" max="1" width="14" customWidth="1"/>
    <col min="2" max="2" width="42" customWidth="1"/>
    <col min="3" max="3" width="52" customWidth="1"/>
    <col min="4" max="4" width="24" customWidth="1"/>
    <col min="5" max="6" width="12" customWidth="1"/>
    <col min="7" max="7" width="28" customWidth="1"/>
  </cols>
  <sheetData>
    <row r="1" spans="1:7" ht="18.3" customHeight="1">
      <c r="A1" s="38" t="s">
        <v>59</v>
      </c>
      <c r="B1" s="38"/>
      <c r="C1" s="38"/>
      <c r="D1" s="38"/>
      <c r="E1" s="38"/>
      <c r="F1" s="38"/>
      <c r="G1" s="38"/>
    </row>
    <row r="3" spans="1:7" ht="15" customHeight="1">
      <c r="A3" s="2" t="s">
        <v>9</v>
      </c>
      <c r="B3" s="2" t="s">
        <v>60</v>
      </c>
      <c r="C3" s="2" t="s">
        <v>61</v>
      </c>
      <c r="D3" s="2" t="s">
        <v>11</v>
      </c>
      <c r="E3" s="2" t="s">
        <v>62</v>
      </c>
      <c r="F3" s="2" t="s">
        <v>2</v>
      </c>
      <c r="G3" s="2" t="s">
        <v>63</v>
      </c>
    </row>
    <row r="4" spans="1:7" ht="15" customHeight="1">
      <c r="A4" s="6" t="s">
        <v>31</v>
      </c>
      <c r="B4" s="7" t="s">
        <v>32</v>
      </c>
      <c r="C4" s="7" t="s">
        <v>64</v>
      </c>
      <c r="D4" s="7" t="s">
        <v>4</v>
      </c>
      <c r="E4" s="7">
        <v>1</v>
      </c>
      <c r="F4" s="7">
        <v>2</v>
      </c>
      <c r="G4" s="7" t="s">
        <v>65</v>
      </c>
    </row>
    <row r="5" spans="1:7" ht="15" customHeight="1">
      <c r="A5" s="6" t="s">
        <v>31</v>
      </c>
      <c r="B5" s="7" t="s">
        <v>33</v>
      </c>
      <c r="C5" s="7" t="s">
        <v>66</v>
      </c>
      <c r="D5" s="7" t="s">
        <v>4</v>
      </c>
      <c r="E5" s="7">
        <v>1</v>
      </c>
      <c r="F5" s="7">
        <v>2</v>
      </c>
      <c r="G5" s="7" t="s">
        <v>65</v>
      </c>
    </row>
    <row r="6" spans="1:7" ht="15" customHeight="1">
      <c r="A6" s="6" t="s">
        <v>31</v>
      </c>
      <c r="B6" s="7" t="s">
        <v>34</v>
      </c>
      <c r="C6" s="7" t="s">
        <v>67</v>
      </c>
      <c r="D6" s="7" t="s">
        <v>4</v>
      </c>
      <c r="E6" s="7">
        <v>3</v>
      </c>
      <c r="F6" s="7">
        <v>2</v>
      </c>
      <c r="G6" s="7" t="s">
        <v>65</v>
      </c>
    </row>
    <row r="7" spans="1:7" ht="15" customHeight="1">
      <c r="A7" s="10" t="s">
        <v>35</v>
      </c>
      <c r="B7" s="7" t="s">
        <v>36</v>
      </c>
      <c r="C7" s="7" t="s">
        <v>68</v>
      </c>
      <c r="D7" s="7" t="s">
        <v>4</v>
      </c>
      <c r="E7" s="7">
        <v>4</v>
      </c>
      <c r="F7" s="7">
        <v>2</v>
      </c>
      <c r="G7" s="7" t="s">
        <v>65</v>
      </c>
    </row>
    <row r="8" spans="1:7" ht="15" customHeight="1">
      <c r="A8" s="10" t="s">
        <v>35</v>
      </c>
      <c r="B8" s="7" t="s">
        <v>37</v>
      </c>
      <c r="C8" s="7" t="s">
        <v>69</v>
      </c>
      <c r="D8" s="7" t="s">
        <v>4</v>
      </c>
      <c r="E8" s="7">
        <v>5</v>
      </c>
      <c r="F8" s="7">
        <v>2</v>
      </c>
      <c r="G8" s="7" t="s">
        <v>65</v>
      </c>
    </row>
    <row r="9" spans="1:7" ht="15" customHeight="1">
      <c r="A9" s="10" t="s">
        <v>35</v>
      </c>
      <c r="B9" s="7" t="s">
        <v>38</v>
      </c>
      <c r="C9" s="7" t="s">
        <v>70</v>
      </c>
      <c r="D9" s="7" t="s">
        <v>4</v>
      </c>
      <c r="E9" s="7">
        <v>5</v>
      </c>
      <c r="F9" s="7">
        <v>2</v>
      </c>
      <c r="G9" s="7" t="s">
        <v>65</v>
      </c>
    </row>
    <row r="10" spans="1:7" ht="15" customHeight="1">
      <c r="A10" s="10" t="s">
        <v>35</v>
      </c>
      <c r="B10" s="7" t="s">
        <v>39</v>
      </c>
      <c r="C10" s="7" t="s">
        <v>71</v>
      </c>
      <c r="D10" s="7" t="s">
        <v>40</v>
      </c>
      <c r="E10" s="7">
        <v>6</v>
      </c>
      <c r="F10" s="7">
        <v>1</v>
      </c>
      <c r="G10" s="7" t="s">
        <v>72</v>
      </c>
    </row>
    <row r="11" spans="1:7" ht="15" customHeight="1">
      <c r="A11" s="13" t="s">
        <v>41</v>
      </c>
      <c r="B11" s="7" t="s">
        <v>42</v>
      </c>
      <c r="C11" s="7" t="s">
        <v>73</v>
      </c>
      <c r="D11" s="7" t="s">
        <v>43</v>
      </c>
      <c r="E11" s="7">
        <v>7</v>
      </c>
      <c r="F11" s="7">
        <v>6</v>
      </c>
      <c r="G11" s="7" t="s">
        <v>74</v>
      </c>
    </row>
    <row r="12" spans="1:7" ht="15" customHeight="1">
      <c r="A12" s="13" t="s">
        <v>41</v>
      </c>
      <c r="B12" s="7" t="s">
        <v>44</v>
      </c>
      <c r="C12" s="7" t="s">
        <v>75</v>
      </c>
      <c r="D12" s="7" t="s">
        <v>45</v>
      </c>
      <c r="E12" s="7">
        <v>7</v>
      </c>
      <c r="F12" s="7">
        <v>6</v>
      </c>
      <c r="G12" s="7" t="s">
        <v>76</v>
      </c>
    </row>
    <row r="13" spans="1:7" ht="15" customHeight="1">
      <c r="A13" s="13" t="s">
        <v>41</v>
      </c>
      <c r="B13" s="7" t="s">
        <v>46</v>
      </c>
      <c r="C13" s="7" t="s">
        <v>77</v>
      </c>
      <c r="D13" s="7" t="s">
        <v>47</v>
      </c>
      <c r="E13" s="7">
        <v>9</v>
      </c>
      <c r="F13" s="7">
        <v>5</v>
      </c>
      <c r="G13" s="7" t="s">
        <v>78</v>
      </c>
    </row>
    <row r="14" spans="1:7" ht="15" customHeight="1">
      <c r="A14" s="16" t="s">
        <v>48</v>
      </c>
      <c r="B14" s="7" t="s">
        <v>49</v>
      </c>
      <c r="C14" s="7" t="s">
        <v>79</v>
      </c>
      <c r="D14" s="7" t="s">
        <v>4</v>
      </c>
      <c r="E14" s="7">
        <v>12</v>
      </c>
      <c r="F14" s="7">
        <v>2</v>
      </c>
      <c r="G14" s="7" t="s">
        <v>65</v>
      </c>
    </row>
    <row r="15" spans="1:7" ht="15" customHeight="1">
      <c r="A15" s="19" t="s">
        <v>50</v>
      </c>
      <c r="B15" s="7" t="s">
        <v>51</v>
      </c>
      <c r="C15" s="7" t="s">
        <v>80</v>
      </c>
      <c r="D15" s="7" t="s">
        <v>4</v>
      </c>
      <c r="E15" s="7">
        <v>14</v>
      </c>
      <c r="F15" s="7">
        <v>2</v>
      </c>
      <c r="G15" s="7" t="s">
        <v>65</v>
      </c>
    </row>
    <row r="16" spans="1:7" ht="15" customHeight="1">
      <c r="A16" s="19" t="s">
        <v>50</v>
      </c>
      <c r="B16" s="7" t="s">
        <v>52</v>
      </c>
      <c r="C16" s="7" t="s">
        <v>81</v>
      </c>
      <c r="D16" s="7" t="s">
        <v>4</v>
      </c>
      <c r="E16" s="7">
        <v>16</v>
      </c>
      <c r="F16" s="7">
        <v>1</v>
      </c>
      <c r="G16" s="7" t="s">
        <v>65</v>
      </c>
    </row>
    <row r="17" spans="1:7" ht="15" customHeight="1">
      <c r="A17" s="22" t="s">
        <v>53</v>
      </c>
      <c r="B17" s="7" t="s">
        <v>54</v>
      </c>
      <c r="C17" s="7" t="s">
        <v>82</v>
      </c>
      <c r="D17" s="7" t="s">
        <v>4</v>
      </c>
      <c r="E17" s="7">
        <v>17</v>
      </c>
      <c r="F17" s="7">
        <v>1</v>
      </c>
      <c r="G17" s="7" t="s">
        <v>65</v>
      </c>
    </row>
    <row r="18" spans="1:7" ht="15" customHeight="1">
      <c r="A18" s="25" t="s">
        <v>55</v>
      </c>
      <c r="B18" s="7" t="s">
        <v>56</v>
      </c>
      <c r="C18" s="7" t="s">
        <v>83</v>
      </c>
      <c r="D18" s="7" t="s">
        <v>4</v>
      </c>
      <c r="E18" s="7">
        <v>18</v>
      </c>
      <c r="F18" s="7">
        <v>1</v>
      </c>
      <c r="G18" s="7" t="s">
        <v>65</v>
      </c>
    </row>
    <row r="21" spans="1:7" ht="15" customHeight="1">
      <c r="A21" s="39" t="s">
        <v>84</v>
      </c>
      <c r="B21" s="39"/>
      <c r="C21" s="39"/>
      <c r="D21" s="39"/>
      <c r="E21" s="39"/>
      <c r="F21" s="39"/>
      <c r="G21" s="39"/>
    </row>
    <row r="22" spans="1:7" ht="15" customHeight="1">
      <c r="A22" s="39"/>
      <c r="B22" s="39"/>
      <c r="C22" s="39"/>
      <c r="D22" s="39"/>
      <c r="E22" s="39"/>
      <c r="F22" s="39"/>
      <c r="G22" s="39"/>
    </row>
    <row r="23" spans="1:7" ht="15" customHeight="1">
      <c r="A23" s="39"/>
      <c r="B23" s="39"/>
      <c r="C23" s="39"/>
      <c r="D23" s="39"/>
      <c r="E23" s="39"/>
      <c r="F23" s="39"/>
      <c r="G23" s="39"/>
    </row>
  </sheetData>
  <mergeCells count="2">
    <mergeCell ref="A1:G1"/>
    <mergeCell ref="A21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Planificación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. SALAMANCA FERNANDEZ</cp:lastModifiedBy>
  <dcterms:modified xsi:type="dcterms:W3CDTF">2026-04-22T17:41:51Z</dcterms:modified>
</cp:coreProperties>
</file>