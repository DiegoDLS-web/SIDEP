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  <sheet state="visible" name="Planificación" sheetId="2" r:id="rId5"/>
  </sheets>
  <definedNames/>
  <calcPr/>
  <extLst>
    <ext uri="GoogleSheetsCustomDataVersion2">
      <go:sheetsCustomData xmlns:go="http://customooxmlschemas.google.com/" r:id="rId6" roundtripDataChecksum="OWZapA3mxkKlK9FIDMzyutH4jAoLMDX9ddnXLF7j3xk="/>
    </ext>
  </extLst>
</workbook>
</file>

<file path=xl/sharedStrings.xml><?xml version="1.0" encoding="utf-8"?>
<sst xmlns="http://schemas.openxmlformats.org/spreadsheetml/2006/main" count="177" uniqueCount="87">
  <si>
    <t>Carta Gantt Académica - Proyecto SIDEP</t>
  </si>
  <si>
    <t>Metodología</t>
  </si>
  <si>
    <t>Duración</t>
  </si>
  <si>
    <t>Enfoque</t>
  </si>
  <si>
    <t>Equipo</t>
  </si>
  <si>
    <t>Distribución de programación: 1 responsable de frontend, 1 de backend núcleo y 1 de backend logística/reportes.</t>
  </si>
  <si>
    <t>Cascada (Waterfall)</t>
  </si>
  <si>
    <t>18 semanas</t>
  </si>
  <si>
    <t>Académico</t>
  </si>
  <si>
    <t>3 integrantes</t>
  </si>
  <si>
    <t>Fase</t>
  </si>
  <si>
    <t>Actividad</t>
  </si>
  <si>
    <t>Responsable</t>
  </si>
  <si>
    <t>Inicio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</si>
  <si>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</si>
  <si>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</si>
  <si>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</si>
  <si>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</si>
  <si>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</si>
  <si>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</si>
  <si>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</si>
  <si>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</si>
  <si>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</si>
  <si>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</si>
  <si>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</si>
  <si>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</si>
  <si>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</si>
  <si>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</si>
  <si>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</si>
  <si>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</si>
  <si>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</si>
  <si>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</si>
  <si>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Análisis</t>
  </si>
  <si>
    <t>Levantamiento de requerimientos</t>
  </si>
  <si>
    <t>Identificación de actores y objetivos</t>
  </si>
  <si>
    <t>Definición y validación de requerimientos</t>
  </si>
  <si>
    <t>Diseño</t>
  </si>
  <si>
    <t>Diseño de arquitectura del sistema</t>
  </si>
  <si>
    <t>Diseño de base de datos</t>
  </si>
  <si>
    <t>Diagramas UML y módulos</t>
  </si>
  <si>
    <t>Diseño de interfaz y prototipado</t>
  </si>
  <si>
    <t>Desarrollo</t>
  </si>
  <si>
    <t>Frontend Angular (vistas, formularios, dashboard)</t>
  </si>
  <si>
    <t>Backend núcleo: autenticación, usuarios y partes</t>
  </si>
  <si>
    <t>Backend logística: checklist, ERA, licencias y reportes</t>
  </si>
  <si>
    <t>Integración</t>
  </si>
  <si>
    <t>Integración frontend-backend y endpoints</t>
  </si>
  <si>
    <t>Pruebas</t>
  </si>
  <si>
    <t>Pruebas funcionales y de integración</t>
  </si>
  <si>
    <t>Corrección de errores y ajustes</t>
  </si>
  <si>
    <t>Documentación</t>
  </si>
  <si>
    <t>Documentación final y anexos</t>
  </si>
  <si>
    <t>Entrega</t>
  </si>
  <si>
    <t>Preparación de entrega y presentación final</t>
  </si>
  <si>
    <t>Leyenda de fases</t>
  </si>
  <si>
    <t>■ Barra de planificación</t>
  </si>
  <si>
    <t>Planificación detallada del proyecto SIDEP</t>
  </si>
  <si>
    <t>Actividad/Tarea</t>
  </si>
  <si>
    <t>Descripción</t>
  </si>
  <si>
    <t>Semana inicio</t>
  </si>
  <si>
    <t>Observación</t>
  </si>
  <si>
    <t>Recopilación de necesidades del sistema y alcance académico.</t>
  </si>
  <si>
    <t>Trabajo colaborativo</t>
  </si>
  <si>
    <t>Definición de usuarios, stakeholders y objetivos del proyecto.</t>
  </si>
  <si>
    <t>Formalización de requisitos funcionales y no funcionales.</t>
  </si>
  <si>
    <t>Definición de arquitectura web y estructura por capas.</t>
  </si>
  <si>
    <t>Modelado relacional y entidades principales del sistema.</t>
  </si>
  <si>
    <t>Casos de uso, componentes y visión modular del sistema.</t>
  </si>
  <si>
    <t>Maquetación visual y estructura de navegación.</t>
  </si>
  <si>
    <t>Frontend</t>
  </si>
  <si>
    <t>Responsable principal de interfaz</t>
  </si>
  <si>
    <t>Construcción completa de la capa visual del sistema.</t>
  </si>
  <si>
    <t>Responsable Frontend</t>
  </si>
  <si>
    <t>Responsable único del frontend</t>
  </si>
  <si>
    <t>Implementación de JWT, roles y lógica principal de emergencias.</t>
  </si>
  <si>
    <t>Backend núcleo</t>
  </si>
  <si>
    <t>Responsable backend principal</t>
  </si>
  <si>
    <t>Backend logística: checklist, ERA y reportes</t>
  </si>
  <si>
    <t>Implementación de módulos logísticos y exportación PDF/Excel.</t>
  </si>
  <si>
    <t>Backend logística</t>
  </si>
  <si>
    <t>Responsable backend logística y reportes</t>
  </si>
  <si>
    <t>Conexión de servicios y pruebas de interacción entre capas.</t>
  </si>
  <si>
    <t>Validación de funcionalidades críticas y consistencia general.</t>
  </si>
  <si>
    <t>Resolución de incidencias detectadas durante las pruebas.</t>
  </si>
  <si>
    <t>Consolidación del informe y anexos de apoyo.</t>
  </si>
  <si>
    <t>Cierre académico y preparación de defensa del proyecto.</t>
  </si>
  <si>
    <t>Criterio de planificación: aunque la metodología es cascada, la etapa de desarrollo se divide por dominios (frontend, backend núcleo y backend logística/reportes) para hacer viable la ejecución dentro de 18 semanas y reducir problemas de integración.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</si>
</sst>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rgb="FF000000"/>
      <name val="Carlito"/>
      <scheme val="minor"/>
    </font>
    <font>
      <b/>
      <sz val="16.0"/>
      <color rgb="FFFFFFFF"/>
      <name val="Carlito"/>
    </font>
    <font/>
    <font>
      <b/>
      <sz val="11.0"/>
      <color theme="1"/>
      <name val="Carlito"/>
    </font>
    <font>
      <sz val="11.0"/>
      <color theme="1"/>
      <name val="Carlito"/>
    </font>
    <font>
      <sz val="11.0"/>
      <color rgb="FFFFFFFF"/>
      <name val="Carlito"/>
    </font>
    <font>
      <b/>
      <sz val="14.0"/>
      <color rgb="FF2F75B5"/>
      <name val="Carlito"/>
    </font>
    <font>
      <b/>
      <sz val="14.0"/>
      <color rgb="FF548235"/>
      <name val="Carlito"/>
    </font>
    <font>
      <sz val="11.0"/>
      <color theme="1"/>
      <name val="Arial"/>
    </font>
    <font>
      <b/>
      <sz val="14.0"/>
      <color rgb="FFBF9000"/>
      <name val="Carlito"/>
    </font>
    <font>
      <b/>
      <sz val="14.0"/>
      <color rgb="FFC55A11"/>
      <name val="Carlito"/>
    </font>
    <font>
      <b/>
      <sz val="14.0"/>
      <color rgb="FF5F497A"/>
      <name val="Carlito"/>
    </font>
    <font>
      <b/>
      <sz val="14.0"/>
      <color rgb="FF38761D"/>
      <name val="Carlito"/>
    </font>
    <font>
      <b/>
      <sz val="14.0"/>
      <color rgb="FF990000"/>
      <name val="Carlito"/>
    </font>
    <font>
      <sz val="11.0"/>
      <color rgb="FF2F75B5"/>
      <name val="Carlito"/>
    </font>
    <font>
      <sz val="11.0"/>
      <color rgb="FF548235"/>
      <name val="Carlito"/>
    </font>
    <font>
      <sz val="11.0"/>
      <color rgb="FFBF9000"/>
      <name val="Carlito"/>
    </font>
    <font>
      <sz val="11.0"/>
      <color rgb="FFC55A11"/>
      <name val="Carlito"/>
    </font>
    <font>
      <sz val="11.0"/>
      <color rgb="FF5F497A"/>
      <name val="Carlito"/>
    </font>
    <font>
      <sz val="11.0"/>
      <color rgb="FF38761D"/>
      <name val="Carlito"/>
    </font>
    <font>
      <sz val="11.0"/>
      <color rgb="FF990000"/>
      <name val="Carlito"/>
    </font>
    <font>
      <b/>
      <sz val="15.0"/>
      <color rgb="FFFFFFFF"/>
      <name val="Carlito"/>
    </font>
  </fonts>
  <fills count="1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7F7F7"/>
        <bgColor rgb="FFF7F7F7"/>
      </patternFill>
    </fill>
    <fill>
      <patternFill patternType="solid">
        <fgColor rgb="FFD9D9D9"/>
        <bgColor rgb="FFD9D9D9"/>
      </patternFill>
    </fill>
    <fill>
      <patternFill patternType="solid">
        <fgColor rgb="FFDDEBF7"/>
        <bgColor rgb="FFDDEBF7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/>
    </border>
    <border>
      <right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shrinkToFit="0" vertical="center" wrapText="1"/>
    </xf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5" numFmtId="0" xfId="0" applyFont="1"/>
    <xf borderId="10" fillId="5" fontId="3" numFmtId="0" xfId="0" applyAlignment="1" applyBorder="1" applyFill="1" applyFont="1">
      <alignment horizontal="center" vertical="center"/>
    </xf>
    <xf borderId="10" fillId="6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10" fillId="7" fontId="3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readingOrder="0" shrinkToFit="0" vertical="center" wrapText="1"/>
    </xf>
    <xf borderId="10" fillId="8" fontId="3" numFmtId="0" xfId="0" applyAlignment="1" applyBorder="1" applyFill="1" applyFont="1">
      <alignment shrinkToFit="0" vertical="center" wrapText="1"/>
    </xf>
    <xf borderId="0" fillId="0" fontId="9" numFmtId="0" xfId="0" applyAlignment="1" applyFont="1">
      <alignment horizontal="center" vertical="center"/>
    </xf>
    <xf borderId="0" fillId="0" fontId="4" numFmtId="0" xfId="0" applyAlignment="1" applyFont="1">
      <alignment readingOrder="0" shrinkToFit="0" vertical="center" wrapText="1"/>
    </xf>
    <xf borderId="10" fillId="9" fontId="3" numFmtId="0" xfId="0" applyAlignment="1" applyBorder="1" applyFill="1" applyFont="1">
      <alignment shrinkToFit="0" vertical="center" wrapText="1"/>
    </xf>
    <xf borderId="0" fillId="0" fontId="10" numFmtId="0" xfId="0" applyAlignment="1" applyFont="1">
      <alignment horizontal="center" vertical="center"/>
    </xf>
    <xf borderId="10" fillId="10" fontId="3" numFmtId="0" xfId="0" applyAlignment="1" applyBorder="1" applyFill="1" applyFont="1">
      <alignment shrinkToFit="0" vertical="center" wrapText="1"/>
    </xf>
    <xf borderId="0" fillId="0" fontId="11" numFmtId="0" xfId="0" applyAlignment="1" applyFont="1">
      <alignment horizontal="center" vertical="center"/>
    </xf>
    <xf borderId="10" fillId="11" fontId="3" numFmtId="0" xfId="0" applyAlignment="1" applyBorder="1" applyFill="1" applyFont="1">
      <alignment shrinkToFit="0" vertical="center" wrapText="1"/>
    </xf>
    <xf borderId="0" fillId="0" fontId="12" numFmtId="0" xfId="0" applyAlignment="1" applyFont="1">
      <alignment horizontal="center" vertical="center"/>
    </xf>
    <xf borderId="10" fillId="12" fontId="3" numFmtId="0" xfId="0" applyAlignment="1" applyBorder="1" applyFill="1" applyFont="1">
      <alignment shrinkToFit="0" vertical="center" wrapText="1"/>
    </xf>
    <xf borderId="0" fillId="0" fontId="13" numFmtId="0" xfId="0" applyAlignment="1" applyFont="1">
      <alignment horizontal="center" vertical="center"/>
    </xf>
    <xf borderId="1" fillId="5" fontId="3" numFmtId="0" xfId="0" applyBorder="1" applyFont="1"/>
    <xf borderId="1" fillId="6" fontId="3" numFmtId="0" xfId="0" applyBorder="1" applyFont="1"/>
    <xf borderId="0" fillId="0" fontId="14" numFmtId="0" xfId="0" applyFont="1"/>
    <xf borderId="1" fillId="7" fontId="3" numFmtId="0" xfId="0" applyBorder="1" applyFont="1"/>
    <xf borderId="0" fillId="0" fontId="15" numFmtId="0" xfId="0" applyFont="1"/>
    <xf borderId="1" fillId="8" fontId="3" numFmtId="0" xfId="0" applyBorder="1" applyFont="1"/>
    <xf borderId="0" fillId="0" fontId="16" numFmtId="0" xfId="0" applyFont="1"/>
    <xf borderId="1" fillId="9" fontId="3" numFmtId="0" xfId="0" applyBorder="1" applyFont="1"/>
    <xf borderId="0" fillId="0" fontId="17" numFmtId="0" xfId="0" applyFont="1"/>
    <xf borderId="1" fillId="10" fontId="3" numFmtId="0" xfId="0" applyBorder="1" applyFont="1"/>
    <xf borderId="0" fillId="0" fontId="18" numFmtId="0" xfId="0" applyFont="1"/>
    <xf borderId="1" fillId="11" fontId="3" numFmtId="0" xfId="0" applyBorder="1" applyFont="1"/>
    <xf borderId="0" fillId="0" fontId="19" numFmtId="0" xfId="0" applyFont="1"/>
    <xf borderId="1" fillId="12" fontId="3" numFmtId="0" xfId="0" applyBorder="1" applyFont="1"/>
    <xf borderId="0" fillId="0" fontId="20" numFmtId="0" xfId="0" applyFont="1"/>
    <xf borderId="1" fillId="2" fontId="21" numFmtId="0" xfId="0" applyAlignment="1" applyBorder="1" applyFont="1">
      <alignment horizontal="center"/>
    </xf>
    <xf borderId="10" fillId="5" fontId="3" numFmtId="0" xfId="0" applyAlignment="1" applyBorder="1" applyFont="1">
      <alignment horizontal="center"/>
    </xf>
    <xf borderId="4" fillId="13" fontId="4" numFmtId="0" xfId="0" applyAlignment="1" applyBorder="1" applyFill="1" applyFont="1">
      <alignment shrinkToFit="0" wrapText="1"/>
    </xf>
    <xf borderId="11" fillId="0" fontId="2" numFmtId="0" xfId="0" applyBorder="1" applyFont="1"/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40.0"/>
    <col customWidth="1" min="3" max="3" width="22.0"/>
    <col customWidth="1" min="4" max="5" width="10.0"/>
    <col customWidth="1" min="6" max="6" width="3.13"/>
    <col customWidth="1" min="7" max="7" width="7.75"/>
    <col customWidth="1" min="8" max="8" width="2.75"/>
    <col customWidth="1" min="9" max="9" width="6.25"/>
    <col customWidth="1" min="10" max="23" width="4.75"/>
    <col customWidth="1" min="24" max="26" width="8.75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15.0" customHeight="1">
      <c r="A2" s="4" t="s">
        <v>1</v>
      </c>
      <c r="B2" s="3"/>
      <c r="C2" s="4" t="s">
        <v>2</v>
      </c>
      <c r="D2" s="3"/>
      <c r="E2" s="4" t="s">
        <v>3</v>
      </c>
      <c r="F2" s="3"/>
      <c r="G2" s="4" t="s">
        <v>4</v>
      </c>
      <c r="H2" s="3"/>
      <c r="I2" s="5" t="s">
        <v>5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</row>
    <row r="3" ht="15.0" customHeight="1">
      <c r="A3" s="8" t="s">
        <v>6</v>
      </c>
      <c r="C3" s="8" t="s">
        <v>7</v>
      </c>
      <c r="E3" s="8" t="s">
        <v>8</v>
      </c>
      <c r="G3" s="8" t="s">
        <v>9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ht="15.0" customHeight="1">
      <c r="F4" s="12">
        <v>1.0</v>
      </c>
      <c r="G4" s="12">
        <v>2.0</v>
      </c>
      <c r="H4" s="12">
        <v>3.0</v>
      </c>
      <c r="I4" s="12">
        <v>4.0</v>
      </c>
      <c r="J4" s="12">
        <v>5.0</v>
      </c>
      <c r="K4" s="12">
        <v>6.0</v>
      </c>
      <c r="L4" s="12">
        <v>7.0</v>
      </c>
      <c r="M4" s="12">
        <v>8.0</v>
      </c>
      <c r="N4" s="12">
        <v>9.0</v>
      </c>
      <c r="O4" s="12">
        <v>10.0</v>
      </c>
      <c r="P4" s="12">
        <v>11.0</v>
      </c>
      <c r="Q4" s="12">
        <v>12.0</v>
      </c>
      <c r="R4" s="12">
        <v>13.0</v>
      </c>
      <c r="S4" s="12">
        <v>14.0</v>
      </c>
      <c r="T4" s="12">
        <v>15.0</v>
      </c>
      <c r="U4" s="12">
        <v>16.0</v>
      </c>
      <c r="V4" s="12">
        <v>17.0</v>
      </c>
      <c r="W4" s="12">
        <v>18.0</v>
      </c>
    </row>
    <row r="5" ht="15.0" customHeight="1">
      <c r="A5" s="13" t="s">
        <v>10</v>
      </c>
      <c r="B5" s="13" t="s">
        <v>11</v>
      </c>
      <c r="C5" s="13" t="s">
        <v>12</v>
      </c>
      <c r="D5" s="13" t="s">
        <v>13</v>
      </c>
      <c r="E5" s="13" t="s">
        <v>2</v>
      </c>
      <c r="F5" s="13" t="s">
        <v>14</v>
      </c>
      <c r="G5" s="13" t="s">
        <v>15</v>
      </c>
      <c r="H5" s="13" t="s">
        <v>16</v>
      </c>
      <c r="I5" s="13" t="s">
        <v>17</v>
      </c>
      <c r="J5" s="13" t="s">
        <v>18</v>
      </c>
      <c r="K5" s="13" t="s">
        <v>19</v>
      </c>
      <c r="L5" s="13" t="s">
        <v>20</v>
      </c>
      <c r="M5" s="13" t="s">
        <v>21</v>
      </c>
      <c r="N5" s="13" t="s">
        <v>22</v>
      </c>
      <c r="O5" s="13" t="s">
        <v>23</v>
      </c>
      <c r="P5" s="13" t="s">
        <v>24</v>
      </c>
      <c r="Q5" s="13" t="s">
        <v>25</v>
      </c>
      <c r="R5" s="13" t="s">
        <v>26</v>
      </c>
      <c r="S5" s="13" t="s">
        <v>27</v>
      </c>
      <c r="T5" s="13" t="s">
        <v>28</v>
      </c>
      <c r="U5" s="13" t="s">
        <v>29</v>
      </c>
      <c r="V5" s="13" t="s">
        <v>30</v>
      </c>
      <c r="W5" s="13" t="s">
        <v>31</v>
      </c>
    </row>
    <row r="6" ht="16.5" customHeight="1">
      <c r="A6" s="14" t="s">
        <v>32</v>
      </c>
      <c r="B6" s="15" t="s">
        <v>33</v>
      </c>
      <c r="C6" s="15" t="s">
        <v>4</v>
      </c>
      <c r="D6" s="15">
        <v>1.0</v>
      </c>
      <c r="E6" s="15">
        <v>2.0</v>
      </c>
      <c r="F6" s="16" t="str">
        <f t="shared" ref="F6:W6" si="1">IF(AND(F$4&gt;=$D6,F$4&lt;=$D6+$E6-1),"■","")</f>
        <v>■</v>
      </c>
      <c r="G6" s="16" t="str">
        <f t="shared" si="1"/>
        <v>■</v>
      </c>
      <c r="H6" s="16" t="str">
        <f t="shared" si="1"/>
        <v/>
      </c>
      <c r="I6" s="16" t="str">
        <f t="shared" si="1"/>
        <v/>
      </c>
      <c r="J6" s="16" t="str">
        <f t="shared" si="1"/>
        <v/>
      </c>
      <c r="K6" s="16" t="str">
        <f t="shared" si="1"/>
        <v/>
      </c>
      <c r="L6" s="16" t="str">
        <f t="shared" si="1"/>
        <v/>
      </c>
      <c r="M6" s="16" t="str">
        <f t="shared" si="1"/>
        <v/>
      </c>
      <c r="N6" s="16" t="str">
        <f t="shared" si="1"/>
        <v/>
      </c>
      <c r="O6" s="16" t="str">
        <f t="shared" si="1"/>
        <v/>
      </c>
      <c r="P6" s="16" t="str">
        <f t="shared" si="1"/>
        <v/>
      </c>
      <c r="Q6" s="16" t="str">
        <f t="shared" si="1"/>
        <v/>
      </c>
      <c r="R6" s="16" t="str">
        <f t="shared" si="1"/>
        <v/>
      </c>
      <c r="S6" s="16" t="str">
        <f t="shared" si="1"/>
        <v/>
      </c>
      <c r="T6" s="16" t="str">
        <f t="shared" si="1"/>
        <v/>
      </c>
      <c r="U6" s="16" t="str">
        <f t="shared" si="1"/>
        <v/>
      </c>
      <c r="V6" s="16" t="str">
        <f t="shared" si="1"/>
        <v/>
      </c>
      <c r="W6" s="16" t="str">
        <f t="shared" si="1"/>
        <v/>
      </c>
    </row>
    <row r="7" ht="16.5" customHeight="1">
      <c r="A7" s="14" t="s">
        <v>32</v>
      </c>
      <c r="B7" s="15" t="s">
        <v>34</v>
      </c>
      <c r="C7" s="15" t="s">
        <v>4</v>
      </c>
      <c r="D7" s="15">
        <v>1.0</v>
      </c>
      <c r="E7" s="15">
        <v>2.0</v>
      </c>
      <c r="F7" s="16" t="str">
        <f t="shared" ref="F7:W7" si="2">IF(AND(F$4&gt;=$D7,F$4&lt;=$D7+$E7-1),"■","")</f>
        <v>■</v>
      </c>
      <c r="G7" s="16" t="str">
        <f t="shared" si="2"/>
        <v>■</v>
      </c>
      <c r="H7" s="16" t="str">
        <f t="shared" si="2"/>
        <v/>
      </c>
      <c r="I7" s="16" t="str">
        <f t="shared" si="2"/>
        <v/>
      </c>
      <c r="J7" s="16" t="str">
        <f t="shared" si="2"/>
        <v/>
      </c>
      <c r="K7" s="16" t="str">
        <f t="shared" si="2"/>
        <v/>
      </c>
      <c r="L7" s="16" t="str">
        <f t="shared" si="2"/>
        <v/>
      </c>
      <c r="M7" s="16" t="str">
        <f t="shared" si="2"/>
        <v/>
      </c>
      <c r="N7" s="16" t="str">
        <f t="shared" si="2"/>
        <v/>
      </c>
      <c r="O7" s="16" t="str">
        <f t="shared" si="2"/>
        <v/>
      </c>
      <c r="P7" s="16" t="str">
        <f t="shared" si="2"/>
        <v/>
      </c>
      <c r="Q7" s="16" t="str">
        <f t="shared" si="2"/>
        <v/>
      </c>
      <c r="R7" s="16" t="str">
        <f t="shared" si="2"/>
        <v/>
      </c>
      <c r="S7" s="16" t="str">
        <f t="shared" si="2"/>
        <v/>
      </c>
      <c r="T7" s="16" t="str">
        <f t="shared" si="2"/>
        <v/>
      </c>
      <c r="U7" s="16" t="str">
        <f t="shared" si="2"/>
        <v/>
      </c>
      <c r="V7" s="16" t="str">
        <f t="shared" si="2"/>
        <v/>
      </c>
      <c r="W7" s="16" t="str">
        <f t="shared" si="2"/>
        <v/>
      </c>
    </row>
    <row r="8" ht="16.5" customHeight="1">
      <c r="A8" s="14" t="s">
        <v>32</v>
      </c>
      <c r="B8" s="15" t="s">
        <v>35</v>
      </c>
      <c r="C8" s="15" t="s">
        <v>4</v>
      </c>
      <c r="D8" s="15">
        <v>3.0</v>
      </c>
      <c r="E8" s="15">
        <v>2.0</v>
      </c>
      <c r="F8" s="16" t="str">
        <f t="shared" ref="F8:W8" si="3">IF(AND(F$4&gt;=$D8,F$4&lt;=$D8+$E8-1),"■","")</f>
        <v/>
      </c>
      <c r="G8" s="16" t="str">
        <f t="shared" si="3"/>
        <v/>
      </c>
      <c r="H8" s="16" t="str">
        <f t="shared" si="3"/>
        <v>■</v>
      </c>
      <c r="I8" s="16" t="str">
        <f t="shared" si="3"/>
        <v>■</v>
      </c>
      <c r="J8" s="16" t="str">
        <f t="shared" si="3"/>
        <v/>
      </c>
      <c r="K8" s="16" t="str">
        <f t="shared" si="3"/>
        <v/>
      </c>
      <c r="L8" s="16" t="str">
        <f t="shared" si="3"/>
        <v/>
      </c>
      <c r="M8" s="16" t="str">
        <f t="shared" si="3"/>
        <v/>
      </c>
      <c r="N8" s="16" t="str">
        <f t="shared" si="3"/>
        <v/>
      </c>
      <c r="O8" s="16" t="str">
        <f t="shared" si="3"/>
        <v/>
      </c>
      <c r="P8" s="16" t="str">
        <f t="shared" si="3"/>
        <v/>
      </c>
      <c r="Q8" s="16" t="str">
        <f t="shared" si="3"/>
        <v/>
      </c>
      <c r="R8" s="16" t="str">
        <f t="shared" si="3"/>
        <v/>
      </c>
      <c r="S8" s="16" t="str">
        <f t="shared" si="3"/>
        <v/>
      </c>
      <c r="T8" s="16" t="str">
        <f t="shared" si="3"/>
        <v/>
      </c>
      <c r="U8" s="16" t="str">
        <f t="shared" si="3"/>
        <v/>
      </c>
      <c r="V8" s="16" t="str">
        <f t="shared" si="3"/>
        <v/>
      </c>
      <c r="W8" s="16" t="str">
        <f t="shared" si="3"/>
        <v/>
      </c>
    </row>
    <row r="9" ht="16.5" customHeight="1">
      <c r="A9" s="17" t="s">
        <v>36</v>
      </c>
      <c r="B9" s="15" t="s">
        <v>37</v>
      </c>
      <c r="C9" s="15" t="s">
        <v>4</v>
      </c>
      <c r="D9" s="15">
        <v>4.0</v>
      </c>
      <c r="E9" s="15">
        <v>2.0</v>
      </c>
      <c r="F9" s="18" t="str">
        <f t="shared" ref="F9:W9" si="4">IF(AND(F$4&gt;=$D9,F$4&lt;=$D9+$E9-1),"■","")</f>
        <v/>
      </c>
      <c r="G9" s="18" t="str">
        <f t="shared" si="4"/>
        <v/>
      </c>
      <c r="H9" s="18" t="str">
        <f t="shared" si="4"/>
        <v/>
      </c>
      <c r="I9" s="18" t="str">
        <f t="shared" si="4"/>
        <v>■</v>
      </c>
      <c r="J9" s="18" t="str">
        <f t="shared" si="4"/>
        <v>■</v>
      </c>
      <c r="K9" s="18" t="str">
        <f t="shared" si="4"/>
        <v/>
      </c>
      <c r="L9" s="18" t="str">
        <f t="shared" si="4"/>
        <v/>
      </c>
      <c r="M9" s="18" t="str">
        <f t="shared" si="4"/>
        <v/>
      </c>
      <c r="N9" s="18" t="str">
        <f t="shared" si="4"/>
        <v/>
      </c>
      <c r="O9" s="18" t="str">
        <f t="shared" si="4"/>
        <v/>
      </c>
      <c r="P9" s="18" t="str">
        <f t="shared" si="4"/>
        <v/>
      </c>
      <c r="Q9" s="18" t="str">
        <f t="shared" si="4"/>
        <v/>
      </c>
      <c r="R9" s="18" t="str">
        <f t="shared" si="4"/>
        <v/>
      </c>
      <c r="S9" s="18" t="str">
        <f t="shared" si="4"/>
        <v/>
      </c>
      <c r="T9" s="18" t="str">
        <f t="shared" si="4"/>
        <v/>
      </c>
      <c r="U9" s="18" t="str">
        <f t="shared" si="4"/>
        <v/>
      </c>
      <c r="V9" s="18" t="str">
        <f t="shared" si="4"/>
        <v/>
      </c>
      <c r="W9" s="18" t="str">
        <f t="shared" si="4"/>
        <v/>
      </c>
    </row>
    <row r="10" ht="16.5" customHeight="1">
      <c r="A10" s="17" t="s">
        <v>36</v>
      </c>
      <c r="B10" s="15" t="s">
        <v>38</v>
      </c>
      <c r="C10" s="15" t="s">
        <v>4</v>
      </c>
      <c r="D10" s="15">
        <v>5.0</v>
      </c>
      <c r="E10" s="15">
        <v>2.0</v>
      </c>
      <c r="F10" s="18" t="str">
        <f t="shared" ref="F10:W10" si="5">IF(AND(F$4&gt;=$D10,F$4&lt;=$D10+$E10-1),"■","")</f>
        <v/>
      </c>
      <c r="G10" s="18" t="str">
        <f t="shared" si="5"/>
        <v/>
      </c>
      <c r="H10" s="18" t="str">
        <f t="shared" si="5"/>
        <v/>
      </c>
      <c r="I10" s="18" t="str">
        <f t="shared" si="5"/>
        <v/>
      </c>
      <c r="J10" s="18" t="str">
        <f t="shared" si="5"/>
        <v>■</v>
      </c>
      <c r="K10" s="18" t="str">
        <f t="shared" si="5"/>
        <v>■</v>
      </c>
      <c r="L10" s="18" t="str">
        <f t="shared" si="5"/>
        <v/>
      </c>
      <c r="M10" s="18" t="str">
        <f t="shared" si="5"/>
        <v/>
      </c>
      <c r="N10" s="18" t="str">
        <f t="shared" si="5"/>
        <v/>
      </c>
      <c r="O10" s="18" t="str">
        <f t="shared" si="5"/>
        <v/>
      </c>
      <c r="P10" s="18" t="str">
        <f t="shared" si="5"/>
        <v/>
      </c>
      <c r="Q10" s="18" t="str">
        <f t="shared" si="5"/>
        <v/>
      </c>
      <c r="R10" s="18" t="str">
        <f t="shared" si="5"/>
        <v/>
      </c>
      <c r="S10" s="18" t="str">
        <f t="shared" si="5"/>
        <v/>
      </c>
      <c r="T10" s="18" t="str">
        <f t="shared" si="5"/>
        <v/>
      </c>
      <c r="U10" s="18" t="str">
        <f t="shared" si="5"/>
        <v/>
      </c>
      <c r="V10" s="18" t="str">
        <f t="shared" si="5"/>
        <v/>
      </c>
      <c r="W10" s="18" t="str">
        <f t="shared" si="5"/>
        <v/>
      </c>
    </row>
    <row r="11" ht="16.5" customHeight="1">
      <c r="A11" s="17" t="s">
        <v>36</v>
      </c>
      <c r="B11" s="15" t="s">
        <v>39</v>
      </c>
      <c r="C11" s="15" t="s">
        <v>4</v>
      </c>
      <c r="D11" s="15">
        <v>5.0</v>
      </c>
      <c r="E11" s="15">
        <v>2.0</v>
      </c>
      <c r="F11" s="18" t="str">
        <f t="shared" ref="F11:W11" si="6">IF(AND(F$4&gt;=$D11,F$4&lt;=$D11+$E11-1),"■","")</f>
        <v/>
      </c>
      <c r="G11" s="18" t="str">
        <f t="shared" si="6"/>
        <v/>
      </c>
      <c r="H11" s="18" t="str">
        <f t="shared" si="6"/>
        <v/>
      </c>
      <c r="I11" s="18" t="str">
        <f t="shared" si="6"/>
        <v/>
      </c>
      <c r="J11" s="18" t="str">
        <f t="shared" si="6"/>
        <v>■</v>
      </c>
      <c r="K11" s="18" t="str">
        <f t="shared" si="6"/>
        <v>■</v>
      </c>
      <c r="L11" s="18" t="str">
        <f t="shared" si="6"/>
        <v/>
      </c>
      <c r="M11" s="18" t="str">
        <f t="shared" si="6"/>
        <v/>
      </c>
      <c r="N11" s="18" t="str">
        <f t="shared" si="6"/>
        <v/>
      </c>
      <c r="O11" s="18" t="str">
        <f t="shared" si="6"/>
        <v/>
      </c>
      <c r="P11" s="18" t="str">
        <f t="shared" si="6"/>
        <v/>
      </c>
      <c r="Q11" s="18" t="str">
        <f t="shared" si="6"/>
        <v/>
      </c>
      <c r="R11" s="18" t="str">
        <f t="shared" si="6"/>
        <v/>
      </c>
      <c r="S11" s="18" t="str">
        <f t="shared" si="6"/>
        <v/>
      </c>
      <c r="T11" s="18" t="str">
        <f t="shared" si="6"/>
        <v/>
      </c>
      <c r="U11" s="18" t="str">
        <f t="shared" si="6"/>
        <v/>
      </c>
      <c r="V11" s="18" t="str">
        <f t="shared" si="6"/>
        <v/>
      </c>
      <c r="W11" s="18" t="str">
        <f t="shared" si="6"/>
        <v/>
      </c>
    </row>
    <row r="12" ht="16.5" customHeight="1">
      <c r="A12" s="17" t="s">
        <v>36</v>
      </c>
      <c r="B12" s="15" t="s">
        <v>40</v>
      </c>
      <c r="C12" s="19" t="s">
        <v>4</v>
      </c>
      <c r="D12" s="15">
        <v>6.0</v>
      </c>
      <c r="E12" s="15">
        <v>1.0</v>
      </c>
      <c r="F12" s="18" t="str">
        <f t="shared" ref="F12:W12" si="7">IF(AND(F$4&gt;=$D12,F$4&lt;=$D12+$E12-1),"■","")</f>
        <v/>
      </c>
      <c r="G12" s="18" t="str">
        <f t="shared" si="7"/>
        <v/>
      </c>
      <c r="H12" s="18" t="str">
        <f t="shared" si="7"/>
        <v/>
      </c>
      <c r="I12" s="18" t="str">
        <f t="shared" si="7"/>
        <v/>
      </c>
      <c r="J12" s="18" t="str">
        <f t="shared" si="7"/>
        <v/>
      </c>
      <c r="K12" s="18" t="str">
        <f t="shared" si="7"/>
        <v>■</v>
      </c>
      <c r="L12" s="18" t="str">
        <f t="shared" si="7"/>
        <v/>
      </c>
      <c r="M12" s="18" t="str">
        <f t="shared" si="7"/>
        <v/>
      </c>
      <c r="N12" s="18" t="str">
        <f t="shared" si="7"/>
        <v/>
      </c>
      <c r="O12" s="18" t="str">
        <f t="shared" si="7"/>
        <v/>
      </c>
      <c r="P12" s="18" t="str">
        <f t="shared" si="7"/>
        <v/>
      </c>
      <c r="Q12" s="18" t="str">
        <f t="shared" si="7"/>
        <v/>
      </c>
      <c r="R12" s="18" t="str">
        <f t="shared" si="7"/>
        <v/>
      </c>
      <c r="S12" s="18" t="str">
        <f t="shared" si="7"/>
        <v/>
      </c>
      <c r="T12" s="18" t="str">
        <f t="shared" si="7"/>
        <v/>
      </c>
      <c r="U12" s="18" t="str">
        <f t="shared" si="7"/>
        <v/>
      </c>
      <c r="V12" s="18" t="str">
        <f t="shared" si="7"/>
        <v/>
      </c>
      <c r="W12" s="18" t="str">
        <f t="shared" si="7"/>
        <v/>
      </c>
    </row>
    <row r="13" ht="16.5" customHeight="1">
      <c r="A13" s="20" t="s">
        <v>41</v>
      </c>
      <c r="B13" s="15" t="s">
        <v>42</v>
      </c>
      <c r="C13" s="19" t="s">
        <v>4</v>
      </c>
      <c r="D13" s="15">
        <v>7.0</v>
      </c>
      <c r="E13" s="15">
        <v>6.0</v>
      </c>
      <c r="F13" s="21" t="str">
        <f t="shared" ref="F13:W13" si="8">IF(AND(F$4&gt;=$D13,F$4&lt;=$D13+$E13-1),"■","")</f>
        <v/>
      </c>
      <c r="G13" s="21" t="str">
        <f t="shared" si="8"/>
        <v/>
      </c>
      <c r="H13" s="21" t="str">
        <f t="shared" si="8"/>
        <v/>
      </c>
      <c r="I13" s="21" t="str">
        <f t="shared" si="8"/>
        <v/>
      </c>
      <c r="J13" s="21" t="str">
        <f t="shared" si="8"/>
        <v/>
      </c>
      <c r="K13" s="21" t="str">
        <f t="shared" si="8"/>
        <v/>
      </c>
      <c r="L13" s="21" t="str">
        <f t="shared" si="8"/>
        <v>■</v>
      </c>
      <c r="M13" s="21" t="str">
        <f t="shared" si="8"/>
        <v>■</v>
      </c>
      <c r="N13" s="21" t="str">
        <f t="shared" si="8"/>
        <v>■</v>
      </c>
      <c r="O13" s="21" t="str">
        <f t="shared" si="8"/>
        <v>■</v>
      </c>
      <c r="P13" s="21" t="str">
        <f t="shared" si="8"/>
        <v>■</v>
      </c>
      <c r="Q13" s="21" t="str">
        <f t="shared" si="8"/>
        <v>■</v>
      </c>
      <c r="R13" s="21" t="str">
        <f t="shared" si="8"/>
        <v/>
      </c>
      <c r="S13" s="21" t="str">
        <f t="shared" si="8"/>
        <v/>
      </c>
      <c r="T13" s="21" t="str">
        <f t="shared" si="8"/>
        <v/>
      </c>
      <c r="U13" s="21" t="str">
        <f t="shared" si="8"/>
        <v/>
      </c>
      <c r="V13" s="21" t="str">
        <f t="shared" si="8"/>
        <v/>
      </c>
      <c r="W13" s="21" t="str">
        <f t="shared" si="8"/>
        <v/>
      </c>
    </row>
    <row r="14" ht="16.5" customHeight="1">
      <c r="A14" s="20" t="s">
        <v>41</v>
      </c>
      <c r="B14" s="15" t="s">
        <v>43</v>
      </c>
      <c r="C14" s="19" t="s">
        <v>4</v>
      </c>
      <c r="D14" s="15">
        <v>7.0</v>
      </c>
      <c r="E14" s="15">
        <v>6.0</v>
      </c>
      <c r="F14" s="21" t="str">
        <f t="shared" ref="F14:W14" si="9">IF(AND(F$4&gt;=$D14,F$4&lt;=$D14+$E14-1),"■","")</f>
        <v/>
      </c>
      <c r="G14" s="21" t="str">
        <f t="shared" si="9"/>
        <v/>
      </c>
      <c r="H14" s="21" t="str">
        <f t="shared" si="9"/>
        <v/>
      </c>
      <c r="I14" s="21" t="str">
        <f t="shared" si="9"/>
        <v/>
      </c>
      <c r="J14" s="21" t="str">
        <f t="shared" si="9"/>
        <v/>
      </c>
      <c r="K14" s="21" t="str">
        <f t="shared" si="9"/>
        <v/>
      </c>
      <c r="L14" s="21" t="str">
        <f t="shared" si="9"/>
        <v>■</v>
      </c>
      <c r="M14" s="21" t="str">
        <f t="shared" si="9"/>
        <v>■</v>
      </c>
      <c r="N14" s="21" t="str">
        <f t="shared" si="9"/>
        <v>■</v>
      </c>
      <c r="O14" s="21" t="str">
        <f t="shared" si="9"/>
        <v>■</v>
      </c>
      <c r="P14" s="21" t="str">
        <f t="shared" si="9"/>
        <v>■</v>
      </c>
      <c r="Q14" s="21" t="str">
        <f t="shared" si="9"/>
        <v>■</v>
      </c>
      <c r="R14" s="21" t="str">
        <f t="shared" si="9"/>
        <v/>
      </c>
      <c r="S14" s="21" t="str">
        <f t="shared" si="9"/>
        <v/>
      </c>
      <c r="T14" s="21" t="str">
        <f t="shared" si="9"/>
        <v/>
      </c>
      <c r="U14" s="21" t="str">
        <f t="shared" si="9"/>
        <v/>
      </c>
      <c r="V14" s="21" t="str">
        <f t="shared" si="9"/>
        <v/>
      </c>
      <c r="W14" s="21" t="str">
        <f t="shared" si="9"/>
        <v/>
      </c>
    </row>
    <row r="15" ht="16.5" customHeight="1">
      <c r="A15" s="20" t="s">
        <v>41</v>
      </c>
      <c r="B15" s="22" t="s">
        <v>44</v>
      </c>
      <c r="C15" s="19" t="s">
        <v>4</v>
      </c>
      <c r="D15" s="15">
        <v>9.0</v>
      </c>
      <c r="E15" s="15">
        <v>5.0</v>
      </c>
      <c r="F15" s="21" t="str">
        <f t="shared" ref="F15:W15" si="10">IF(AND(F$4&gt;=$D15,F$4&lt;=$D15+$E15-1),"■","")</f>
        <v/>
      </c>
      <c r="G15" s="21" t="str">
        <f t="shared" si="10"/>
        <v/>
      </c>
      <c r="H15" s="21" t="str">
        <f t="shared" si="10"/>
        <v/>
      </c>
      <c r="I15" s="21" t="str">
        <f t="shared" si="10"/>
        <v/>
      </c>
      <c r="J15" s="21" t="str">
        <f t="shared" si="10"/>
        <v/>
      </c>
      <c r="K15" s="21" t="str">
        <f t="shared" si="10"/>
        <v/>
      </c>
      <c r="L15" s="21" t="str">
        <f t="shared" si="10"/>
        <v/>
      </c>
      <c r="M15" s="21" t="str">
        <f t="shared" si="10"/>
        <v/>
      </c>
      <c r="N15" s="21" t="str">
        <f t="shared" si="10"/>
        <v>■</v>
      </c>
      <c r="O15" s="21" t="str">
        <f t="shared" si="10"/>
        <v>■</v>
      </c>
      <c r="P15" s="21" t="str">
        <f t="shared" si="10"/>
        <v>■</v>
      </c>
      <c r="Q15" s="21" t="str">
        <f t="shared" si="10"/>
        <v>■</v>
      </c>
      <c r="R15" s="21" t="str">
        <f t="shared" si="10"/>
        <v>■</v>
      </c>
      <c r="S15" s="21" t="str">
        <f t="shared" si="10"/>
        <v/>
      </c>
      <c r="T15" s="21" t="str">
        <f t="shared" si="10"/>
        <v/>
      </c>
      <c r="U15" s="21" t="str">
        <f t="shared" si="10"/>
        <v/>
      </c>
      <c r="V15" s="21" t="str">
        <f t="shared" si="10"/>
        <v/>
      </c>
      <c r="W15" s="21" t="str">
        <f t="shared" si="10"/>
        <v/>
      </c>
    </row>
    <row r="16" ht="16.5" customHeight="1">
      <c r="A16" s="23" t="s">
        <v>45</v>
      </c>
      <c r="B16" s="15" t="s">
        <v>46</v>
      </c>
      <c r="C16" s="15" t="s">
        <v>4</v>
      </c>
      <c r="D16" s="15">
        <v>12.0</v>
      </c>
      <c r="E16" s="15">
        <v>2.0</v>
      </c>
      <c r="F16" s="24" t="str">
        <f t="shared" ref="F16:W16" si="11">IF(AND(F$4&gt;=$D16,F$4&lt;=$D16+$E16-1),"■","")</f>
        <v/>
      </c>
      <c r="G16" s="24" t="str">
        <f t="shared" si="11"/>
        <v/>
      </c>
      <c r="H16" s="24" t="str">
        <f t="shared" si="11"/>
        <v/>
      </c>
      <c r="I16" s="24" t="str">
        <f t="shared" si="11"/>
        <v/>
      </c>
      <c r="J16" s="24" t="str">
        <f t="shared" si="11"/>
        <v/>
      </c>
      <c r="K16" s="24" t="str">
        <f t="shared" si="11"/>
        <v/>
      </c>
      <c r="L16" s="24" t="str">
        <f t="shared" si="11"/>
        <v/>
      </c>
      <c r="M16" s="24" t="str">
        <f t="shared" si="11"/>
        <v/>
      </c>
      <c r="N16" s="24" t="str">
        <f t="shared" si="11"/>
        <v/>
      </c>
      <c r="O16" s="24" t="str">
        <f t="shared" si="11"/>
        <v/>
      </c>
      <c r="P16" s="24" t="str">
        <f t="shared" si="11"/>
        <v/>
      </c>
      <c r="Q16" s="24" t="str">
        <f t="shared" si="11"/>
        <v>■</v>
      </c>
      <c r="R16" s="24" t="str">
        <f t="shared" si="11"/>
        <v>■</v>
      </c>
      <c r="S16" s="24" t="str">
        <f t="shared" si="11"/>
        <v/>
      </c>
      <c r="T16" s="24" t="str">
        <f t="shared" si="11"/>
        <v/>
      </c>
      <c r="U16" s="24" t="str">
        <f t="shared" si="11"/>
        <v/>
      </c>
      <c r="V16" s="24" t="str">
        <f t="shared" si="11"/>
        <v/>
      </c>
      <c r="W16" s="24" t="str">
        <f t="shared" si="11"/>
        <v/>
      </c>
    </row>
    <row r="17" ht="16.5" customHeight="1">
      <c r="A17" s="25" t="s">
        <v>47</v>
      </c>
      <c r="B17" s="15" t="s">
        <v>48</v>
      </c>
      <c r="C17" s="15" t="s">
        <v>4</v>
      </c>
      <c r="D17" s="15">
        <v>14.0</v>
      </c>
      <c r="E17" s="15">
        <v>2.0</v>
      </c>
      <c r="F17" s="26" t="str">
        <f t="shared" ref="F17:W17" si="12">IF(AND(F$4&gt;=$D17,F$4&lt;=$D17+$E17-1),"■","")</f>
        <v/>
      </c>
      <c r="G17" s="26" t="str">
        <f t="shared" si="12"/>
        <v/>
      </c>
      <c r="H17" s="26" t="str">
        <f t="shared" si="12"/>
        <v/>
      </c>
      <c r="I17" s="26" t="str">
        <f t="shared" si="12"/>
        <v/>
      </c>
      <c r="J17" s="26" t="str">
        <f t="shared" si="12"/>
        <v/>
      </c>
      <c r="K17" s="26" t="str">
        <f t="shared" si="12"/>
        <v/>
      </c>
      <c r="L17" s="26" t="str">
        <f t="shared" si="12"/>
        <v/>
      </c>
      <c r="M17" s="26" t="str">
        <f t="shared" si="12"/>
        <v/>
      </c>
      <c r="N17" s="26" t="str">
        <f t="shared" si="12"/>
        <v/>
      </c>
      <c r="O17" s="26" t="str">
        <f t="shared" si="12"/>
        <v/>
      </c>
      <c r="P17" s="26" t="str">
        <f t="shared" si="12"/>
        <v/>
      </c>
      <c r="Q17" s="26" t="str">
        <f t="shared" si="12"/>
        <v/>
      </c>
      <c r="R17" s="26" t="str">
        <f t="shared" si="12"/>
        <v/>
      </c>
      <c r="S17" s="26" t="str">
        <f t="shared" si="12"/>
        <v>■</v>
      </c>
      <c r="T17" s="26" t="str">
        <f t="shared" si="12"/>
        <v>■</v>
      </c>
      <c r="U17" s="26" t="str">
        <f t="shared" si="12"/>
        <v/>
      </c>
      <c r="V17" s="26" t="str">
        <f t="shared" si="12"/>
        <v/>
      </c>
      <c r="W17" s="26" t="str">
        <f t="shared" si="12"/>
        <v/>
      </c>
    </row>
    <row r="18" ht="16.5" customHeight="1">
      <c r="A18" s="25" t="s">
        <v>47</v>
      </c>
      <c r="B18" s="15" t="s">
        <v>49</v>
      </c>
      <c r="C18" s="15" t="s">
        <v>4</v>
      </c>
      <c r="D18" s="15">
        <v>16.0</v>
      </c>
      <c r="E18" s="15">
        <v>1.0</v>
      </c>
      <c r="F18" s="26" t="str">
        <f t="shared" ref="F18:W18" si="13">IF(AND(F$4&gt;=$D18,F$4&lt;=$D18+$E18-1),"■","")</f>
        <v/>
      </c>
      <c r="G18" s="26" t="str">
        <f t="shared" si="13"/>
        <v/>
      </c>
      <c r="H18" s="26" t="str">
        <f t="shared" si="13"/>
        <v/>
      </c>
      <c r="I18" s="26" t="str">
        <f t="shared" si="13"/>
        <v/>
      </c>
      <c r="J18" s="26" t="str">
        <f t="shared" si="13"/>
        <v/>
      </c>
      <c r="K18" s="26" t="str">
        <f t="shared" si="13"/>
        <v/>
      </c>
      <c r="L18" s="26" t="str">
        <f t="shared" si="13"/>
        <v/>
      </c>
      <c r="M18" s="26" t="str">
        <f t="shared" si="13"/>
        <v/>
      </c>
      <c r="N18" s="26" t="str">
        <f t="shared" si="13"/>
        <v/>
      </c>
      <c r="O18" s="26" t="str">
        <f t="shared" si="13"/>
        <v/>
      </c>
      <c r="P18" s="26" t="str">
        <f t="shared" si="13"/>
        <v/>
      </c>
      <c r="Q18" s="26" t="str">
        <f t="shared" si="13"/>
        <v/>
      </c>
      <c r="R18" s="26" t="str">
        <f t="shared" si="13"/>
        <v/>
      </c>
      <c r="S18" s="26" t="str">
        <f t="shared" si="13"/>
        <v/>
      </c>
      <c r="T18" s="26" t="str">
        <f t="shared" si="13"/>
        <v/>
      </c>
      <c r="U18" s="26" t="str">
        <f t="shared" si="13"/>
        <v>■</v>
      </c>
      <c r="V18" s="26" t="str">
        <f t="shared" si="13"/>
        <v/>
      </c>
      <c r="W18" s="26" t="str">
        <f t="shared" si="13"/>
        <v/>
      </c>
    </row>
    <row r="19" ht="16.5" customHeight="1">
      <c r="A19" s="27" t="s">
        <v>50</v>
      </c>
      <c r="B19" s="15" t="s">
        <v>51</v>
      </c>
      <c r="C19" s="15" t="s">
        <v>4</v>
      </c>
      <c r="D19" s="15">
        <v>17.0</v>
      </c>
      <c r="E19" s="15">
        <v>1.0</v>
      </c>
      <c r="F19" s="28" t="str">
        <f t="shared" ref="F19:W19" si="14">IF(AND(F$4&gt;=$D19,F$4&lt;=$D19+$E19-1),"■","")</f>
        <v/>
      </c>
      <c r="G19" s="28" t="str">
        <f t="shared" si="14"/>
        <v/>
      </c>
      <c r="H19" s="28" t="str">
        <f t="shared" si="14"/>
        <v/>
      </c>
      <c r="I19" s="28" t="str">
        <f t="shared" si="14"/>
        <v/>
      </c>
      <c r="J19" s="28" t="str">
        <f t="shared" si="14"/>
        <v/>
      </c>
      <c r="K19" s="28" t="str">
        <f t="shared" si="14"/>
        <v/>
      </c>
      <c r="L19" s="28" t="str">
        <f t="shared" si="14"/>
        <v/>
      </c>
      <c r="M19" s="28" t="str">
        <f t="shared" si="14"/>
        <v/>
      </c>
      <c r="N19" s="28" t="str">
        <f t="shared" si="14"/>
        <v/>
      </c>
      <c r="O19" s="28" t="str">
        <f t="shared" si="14"/>
        <v/>
      </c>
      <c r="P19" s="28" t="str">
        <f t="shared" si="14"/>
        <v/>
      </c>
      <c r="Q19" s="28" t="str">
        <f t="shared" si="14"/>
        <v/>
      </c>
      <c r="R19" s="28" t="str">
        <f t="shared" si="14"/>
        <v/>
      </c>
      <c r="S19" s="28" t="str">
        <f t="shared" si="14"/>
        <v/>
      </c>
      <c r="T19" s="28" t="str">
        <f t="shared" si="14"/>
        <v/>
      </c>
      <c r="U19" s="28" t="str">
        <f t="shared" si="14"/>
        <v/>
      </c>
      <c r="V19" s="28" t="str">
        <f t="shared" si="14"/>
        <v>■</v>
      </c>
      <c r="W19" s="28" t="str">
        <f t="shared" si="14"/>
        <v/>
      </c>
    </row>
    <row r="20" ht="16.5" customHeight="1">
      <c r="A20" s="29" t="s">
        <v>52</v>
      </c>
      <c r="B20" s="15" t="s">
        <v>53</v>
      </c>
      <c r="C20" s="15" t="s">
        <v>4</v>
      </c>
      <c r="D20" s="15">
        <v>18.0</v>
      </c>
      <c r="E20" s="15">
        <v>1.0</v>
      </c>
      <c r="F20" s="30" t="str">
        <f t="shared" ref="F20:W20" si="15">IF(AND(F$4&gt;=$D20,F$4&lt;=$D20+$E20-1),"■","")</f>
        <v/>
      </c>
      <c r="G20" s="30" t="str">
        <f t="shared" si="15"/>
        <v/>
      </c>
      <c r="H20" s="30" t="str">
        <f t="shared" si="15"/>
        <v/>
      </c>
      <c r="I20" s="30" t="str">
        <f t="shared" si="15"/>
        <v/>
      </c>
      <c r="J20" s="30" t="str">
        <f t="shared" si="15"/>
        <v/>
      </c>
      <c r="K20" s="30" t="str">
        <f t="shared" si="15"/>
        <v/>
      </c>
      <c r="L20" s="30" t="str">
        <f t="shared" si="15"/>
        <v/>
      </c>
      <c r="M20" s="30" t="str">
        <f t="shared" si="15"/>
        <v/>
      </c>
      <c r="N20" s="30" t="str">
        <f t="shared" si="15"/>
        <v/>
      </c>
      <c r="O20" s="30" t="str">
        <f t="shared" si="15"/>
        <v/>
      </c>
      <c r="P20" s="30" t="str">
        <f t="shared" si="15"/>
        <v/>
      </c>
      <c r="Q20" s="30" t="str">
        <f t="shared" si="15"/>
        <v/>
      </c>
      <c r="R20" s="30" t="str">
        <f t="shared" si="15"/>
        <v/>
      </c>
      <c r="S20" s="30" t="str">
        <f t="shared" si="15"/>
        <v/>
      </c>
      <c r="T20" s="30" t="str">
        <f t="shared" si="15"/>
        <v/>
      </c>
      <c r="U20" s="30" t="str">
        <f t="shared" si="15"/>
        <v/>
      </c>
      <c r="V20" s="30" t="str">
        <f t="shared" si="15"/>
        <v/>
      </c>
      <c r="W20" s="30" t="str">
        <f t="shared" si="15"/>
        <v>■</v>
      </c>
    </row>
    <row r="21" ht="13.5" customHeight="1"/>
    <row r="22" ht="13.5" customHeight="1"/>
    <row r="23" ht="15.0" customHeight="1">
      <c r="A23" s="31" t="s">
        <v>54</v>
      </c>
      <c r="B23" s="2"/>
      <c r="C23" s="3"/>
    </row>
    <row r="24" ht="15.0" customHeight="1">
      <c r="A24" s="32" t="s">
        <v>32</v>
      </c>
      <c r="B24" s="3"/>
      <c r="C24" s="33" t="s">
        <v>55</v>
      </c>
    </row>
    <row r="25" ht="15.0" customHeight="1">
      <c r="A25" s="34" t="s">
        <v>36</v>
      </c>
      <c r="B25" s="3"/>
      <c r="C25" s="35" t="s">
        <v>55</v>
      </c>
    </row>
    <row r="26" ht="15.0" customHeight="1">
      <c r="A26" s="36" t="s">
        <v>41</v>
      </c>
      <c r="B26" s="3"/>
      <c r="C26" s="37" t="s">
        <v>55</v>
      </c>
    </row>
    <row r="27" ht="15.0" customHeight="1">
      <c r="A27" s="38" t="s">
        <v>45</v>
      </c>
      <c r="B27" s="3"/>
      <c r="C27" s="39" t="s">
        <v>55</v>
      </c>
    </row>
    <row r="28" ht="15.0" customHeight="1">
      <c r="A28" s="40" t="s">
        <v>47</v>
      </c>
      <c r="B28" s="3"/>
      <c r="C28" s="41" t="s">
        <v>55</v>
      </c>
    </row>
    <row r="29" ht="15.0" customHeight="1">
      <c r="A29" s="42" t="s">
        <v>50</v>
      </c>
      <c r="B29" s="3"/>
      <c r="C29" s="43" t="s">
        <v>55</v>
      </c>
    </row>
    <row r="30" ht="15.0" customHeight="1">
      <c r="A30" s="44" t="s">
        <v>52</v>
      </c>
      <c r="B30" s="3"/>
      <c r="C30" s="45" t="s">
        <v>55</v>
      </c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8">
    <mergeCell ref="A1:W1"/>
    <mergeCell ref="A2:B2"/>
    <mergeCell ref="C2:D2"/>
    <mergeCell ref="E2:F2"/>
    <mergeCell ref="G2:H2"/>
    <mergeCell ref="I2:W3"/>
    <mergeCell ref="A3:B3"/>
    <mergeCell ref="G3:H3"/>
    <mergeCell ref="A28:B28"/>
    <mergeCell ref="A29:B29"/>
    <mergeCell ref="A30:B30"/>
    <mergeCell ref="C3:D3"/>
    <mergeCell ref="E3:F3"/>
    <mergeCell ref="A23:C23"/>
    <mergeCell ref="A24:B24"/>
    <mergeCell ref="A25:B25"/>
    <mergeCell ref="A26:B26"/>
    <mergeCell ref="A27:B2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42.0"/>
    <col customWidth="1" min="3" max="3" width="52.0"/>
    <col customWidth="1" min="4" max="4" width="24.0"/>
    <col customWidth="1" min="5" max="6" width="12.0"/>
    <col customWidth="1" min="7" max="7" width="28.0"/>
    <col customWidth="1" min="8" max="26" width="8.75"/>
  </cols>
  <sheetData>
    <row r="1" ht="18.0" customHeight="1">
      <c r="A1" s="46" t="s">
        <v>56</v>
      </c>
      <c r="B1" s="2"/>
      <c r="C1" s="2"/>
      <c r="D1" s="2"/>
      <c r="E1" s="2"/>
      <c r="F1" s="2"/>
      <c r="G1" s="3"/>
    </row>
    <row r="2" ht="13.5" customHeight="1"/>
    <row r="3" ht="15.0" customHeight="1">
      <c r="A3" s="47" t="s">
        <v>10</v>
      </c>
      <c r="B3" s="47" t="s">
        <v>57</v>
      </c>
      <c r="C3" s="47" t="s">
        <v>58</v>
      </c>
      <c r="D3" s="47" t="s">
        <v>12</v>
      </c>
      <c r="E3" s="47" t="s">
        <v>59</v>
      </c>
      <c r="F3" s="47" t="s">
        <v>2</v>
      </c>
      <c r="G3" s="47" t="s">
        <v>60</v>
      </c>
    </row>
    <row r="4" ht="15.0" customHeight="1">
      <c r="A4" s="14" t="s">
        <v>32</v>
      </c>
      <c r="B4" s="15" t="s">
        <v>33</v>
      </c>
      <c r="C4" s="15" t="s">
        <v>61</v>
      </c>
      <c r="D4" s="15" t="s">
        <v>4</v>
      </c>
      <c r="E4" s="15">
        <v>1.0</v>
      </c>
      <c r="F4" s="15">
        <v>2.0</v>
      </c>
      <c r="G4" s="15" t="s">
        <v>62</v>
      </c>
    </row>
    <row r="5" ht="15.0" customHeight="1">
      <c r="A5" s="14" t="s">
        <v>32</v>
      </c>
      <c r="B5" s="15" t="s">
        <v>34</v>
      </c>
      <c r="C5" s="15" t="s">
        <v>63</v>
      </c>
      <c r="D5" s="15" t="s">
        <v>4</v>
      </c>
      <c r="E5" s="15">
        <v>1.0</v>
      </c>
      <c r="F5" s="15">
        <v>2.0</v>
      </c>
      <c r="G5" s="15" t="s">
        <v>62</v>
      </c>
    </row>
    <row r="6" ht="15.0" customHeight="1">
      <c r="A6" s="14" t="s">
        <v>32</v>
      </c>
      <c r="B6" s="15" t="s">
        <v>35</v>
      </c>
      <c r="C6" s="15" t="s">
        <v>64</v>
      </c>
      <c r="D6" s="15" t="s">
        <v>4</v>
      </c>
      <c r="E6" s="15">
        <v>3.0</v>
      </c>
      <c r="F6" s="15">
        <v>2.0</v>
      </c>
      <c r="G6" s="15" t="s">
        <v>62</v>
      </c>
    </row>
    <row r="7" ht="15.0" customHeight="1">
      <c r="A7" s="17" t="s">
        <v>36</v>
      </c>
      <c r="B7" s="15" t="s">
        <v>37</v>
      </c>
      <c r="C7" s="15" t="s">
        <v>65</v>
      </c>
      <c r="D7" s="15" t="s">
        <v>4</v>
      </c>
      <c r="E7" s="15">
        <v>4.0</v>
      </c>
      <c r="F7" s="15">
        <v>2.0</v>
      </c>
      <c r="G7" s="15" t="s">
        <v>62</v>
      </c>
    </row>
    <row r="8" ht="15.0" customHeight="1">
      <c r="A8" s="17" t="s">
        <v>36</v>
      </c>
      <c r="B8" s="15" t="s">
        <v>38</v>
      </c>
      <c r="C8" s="15" t="s">
        <v>66</v>
      </c>
      <c r="D8" s="15" t="s">
        <v>4</v>
      </c>
      <c r="E8" s="15">
        <v>5.0</v>
      </c>
      <c r="F8" s="15">
        <v>2.0</v>
      </c>
      <c r="G8" s="15" t="s">
        <v>62</v>
      </c>
    </row>
    <row r="9" ht="15.0" customHeight="1">
      <c r="A9" s="17" t="s">
        <v>36</v>
      </c>
      <c r="B9" s="15" t="s">
        <v>39</v>
      </c>
      <c r="C9" s="15" t="s">
        <v>67</v>
      </c>
      <c r="D9" s="15" t="s">
        <v>4</v>
      </c>
      <c r="E9" s="15">
        <v>5.0</v>
      </c>
      <c r="F9" s="15">
        <v>2.0</v>
      </c>
      <c r="G9" s="15" t="s">
        <v>62</v>
      </c>
    </row>
    <row r="10" ht="15.0" customHeight="1">
      <c r="A10" s="17" t="s">
        <v>36</v>
      </c>
      <c r="B10" s="15" t="s">
        <v>40</v>
      </c>
      <c r="C10" s="15" t="s">
        <v>68</v>
      </c>
      <c r="D10" s="15" t="s">
        <v>69</v>
      </c>
      <c r="E10" s="15">
        <v>6.0</v>
      </c>
      <c r="F10" s="15">
        <v>1.0</v>
      </c>
      <c r="G10" s="15" t="s">
        <v>70</v>
      </c>
    </row>
    <row r="11" ht="15.0" customHeight="1">
      <c r="A11" s="20" t="s">
        <v>41</v>
      </c>
      <c r="B11" s="15" t="s">
        <v>42</v>
      </c>
      <c r="C11" s="15" t="s">
        <v>71</v>
      </c>
      <c r="D11" s="15" t="s">
        <v>72</v>
      </c>
      <c r="E11" s="15">
        <v>7.0</v>
      </c>
      <c r="F11" s="15">
        <v>6.0</v>
      </c>
      <c r="G11" s="15" t="s">
        <v>73</v>
      </c>
    </row>
    <row r="12" ht="15.0" customHeight="1">
      <c r="A12" s="20" t="s">
        <v>41</v>
      </c>
      <c r="B12" s="15" t="s">
        <v>43</v>
      </c>
      <c r="C12" s="15" t="s">
        <v>74</v>
      </c>
      <c r="D12" s="15" t="s">
        <v>75</v>
      </c>
      <c r="E12" s="15">
        <v>7.0</v>
      </c>
      <c r="F12" s="15">
        <v>6.0</v>
      </c>
      <c r="G12" s="15" t="s">
        <v>76</v>
      </c>
    </row>
    <row r="13" ht="15.0" customHeight="1">
      <c r="A13" s="20" t="s">
        <v>41</v>
      </c>
      <c r="B13" s="15" t="s">
        <v>77</v>
      </c>
      <c r="C13" s="15" t="s">
        <v>78</v>
      </c>
      <c r="D13" s="15" t="s">
        <v>79</v>
      </c>
      <c r="E13" s="15">
        <v>9.0</v>
      </c>
      <c r="F13" s="15">
        <v>5.0</v>
      </c>
      <c r="G13" s="15" t="s">
        <v>80</v>
      </c>
    </row>
    <row r="14" ht="15.0" customHeight="1">
      <c r="A14" s="23" t="s">
        <v>45</v>
      </c>
      <c r="B14" s="15" t="s">
        <v>46</v>
      </c>
      <c r="C14" s="15" t="s">
        <v>81</v>
      </c>
      <c r="D14" s="15" t="s">
        <v>4</v>
      </c>
      <c r="E14" s="15">
        <v>12.0</v>
      </c>
      <c r="F14" s="15">
        <v>2.0</v>
      </c>
      <c r="G14" s="15" t="s">
        <v>62</v>
      </c>
    </row>
    <row r="15" ht="15.0" customHeight="1">
      <c r="A15" s="25" t="s">
        <v>47</v>
      </c>
      <c r="B15" s="15" t="s">
        <v>48</v>
      </c>
      <c r="C15" s="15" t="s">
        <v>82</v>
      </c>
      <c r="D15" s="15" t="s">
        <v>4</v>
      </c>
      <c r="E15" s="15">
        <v>14.0</v>
      </c>
      <c r="F15" s="15">
        <v>2.0</v>
      </c>
      <c r="G15" s="15" t="s">
        <v>62</v>
      </c>
    </row>
    <row r="16" ht="15.0" customHeight="1">
      <c r="A16" s="25" t="s">
        <v>47</v>
      </c>
      <c r="B16" s="15" t="s">
        <v>49</v>
      </c>
      <c r="C16" s="15" t="s">
        <v>83</v>
      </c>
      <c r="D16" s="15" t="s">
        <v>4</v>
      </c>
      <c r="E16" s="15">
        <v>16.0</v>
      </c>
      <c r="F16" s="15">
        <v>1.0</v>
      </c>
      <c r="G16" s="15" t="s">
        <v>62</v>
      </c>
    </row>
    <row r="17" ht="15.0" customHeight="1">
      <c r="A17" s="27" t="s">
        <v>50</v>
      </c>
      <c r="B17" s="15" t="s">
        <v>51</v>
      </c>
      <c r="C17" s="15" t="s">
        <v>84</v>
      </c>
      <c r="D17" s="15" t="s">
        <v>4</v>
      </c>
      <c r="E17" s="15">
        <v>17.0</v>
      </c>
      <c r="F17" s="15">
        <v>1.0</v>
      </c>
      <c r="G17" s="15" t="s">
        <v>62</v>
      </c>
    </row>
    <row r="18" ht="15.0" customHeight="1">
      <c r="A18" s="29" t="s">
        <v>52</v>
      </c>
      <c r="B18" s="15" t="s">
        <v>53</v>
      </c>
      <c r="C18" s="15" t="s">
        <v>85</v>
      </c>
      <c r="D18" s="15" t="s">
        <v>4</v>
      </c>
      <c r="E18" s="15">
        <v>18.0</v>
      </c>
      <c r="F18" s="15">
        <v>1.0</v>
      </c>
      <c r="G18" s="15" t="s">
        <v>62</v>
      </c>
    </row>
    <row r="19" ht="13.5" customHeight="1"/>
    <row r="20" ht="13.5" customHeight="1"/>
    <row r="21" ht="15.0" customHeight="1">
      <c r="A21" s="48" t="s">
        <v>86</v>
      </c>
      <c r="B21" s="6"/>
      <c r="C21" s="6"/>
      <c r="D21" s="6"/>
      <c r="E21" s="6"/>
      <c r="F21" s="6"/>
      <c r="G21" s="7"/>
    </row>
    <row r="22" ht="15.0" customHeight="1">
      <c r="A22" s="49"/>
      <c r="G22" s="50"/>
    </row>
    <row r="23" ht="15.0" customHeight="1">
      <c r="A23" s="9"/>
      <c r="B23" s="10"/>
      <c r="C23" s="10"/>
      <c r="D23" s="10"/>
      <c r="E23" s="10"/>
      <c r="F23" s="10"/>
      <c r="G23" s="11"/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G1"/>
    <mergeCell ref="A21:G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